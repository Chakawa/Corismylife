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_coris\"/>
    </mc:Choice>
  </mc:AlternateContent>
  <xr:revisionPtr revIDLastSave="0" documentId="13_ncr:1_{54F04A52-5883-444A-8C2A-43C21F9C3E1E}" xr6:coauthVersionLast="47" xr6:coauthVersionMax="47" xr10:uidLastSave="{00000000-0000-0000-0000-000000000000}"/>
  <bookViews>
    <workbookView xWindow="-110" yWindow="-110" windowWidth="19420" windowHeight="10300" xr2:uid="{89A7B788-CF1D-4105-AE6C-9AAB5A74B83D}"/>
  </bookViews>
  <sheets>
    <sheet name="TARIF PE" sheetId="1" r:id="rId1"/>
    <sheet name="TARIF TD" sheetId="2" r:id="rId2"/>
    <sheet name="TARIF FLEX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2" l="1"/>
  <c r="Q15" i="3"/>
  <c r="I4" i="1"/>
  <c r="A52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</calcChain>
</file>

<file path=xl/sharedStrings.xml><?xml version="1.0" encoding="utf-8"?>
<sst xmlns="http://schemas.openxmlformats.org/spreadsheetml/2006/main" count="3" uniqueCount="2">
  <si>
    <t>Tranche de Durée</t>
  </si>
  <si>
    <t>Tranche Age\Durée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</si>
</sst>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  <numFmt numFmtId="165" formatCode="#,##0_ ;\-#,##0\ "/>
    <numFmt numFmtId="166" formatCode="0.000%"/>
    <numFmt numFmtId="167" formatCode="_-* #,##0_-;\-* #,##0_-;_-* &quot;-&quot;??_-;_-@_-"/>
    <numFmt numFmtId="170" formatCode="_-* #,##0.00000_-;\-* #,##0.00000_-;_-* &quot;-&quot;_-;_-@_-"/>
    <numFmt numFmtId="171" formatCode="_-* #,##0.0000000000_-;\-* #,##0.0000000000_-;_-* &quot;-&quot;_-;_-@_-"/>
    <numFmt numFmtId="172" formatCode="_-* #,##0.00000\ _F_ _C_F_A_-;\-* #,##0.00000\ _F_ _C_F_A_-;_-* &quot;-&quot;?????\ _F_ _C_F_A_-;_-@_-"/>
    <numFmt numFmtId="173" formatCode="0.0000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entury Schoolbook"/>
      <family val="1"/>
    </font>
    <font>
      <sz val="10"/>
      <name val="Arial"/>
      <family val="2"/>
    </font>
    <font>
      <sz val="11"/>
      <color theme="1"/>
      <name val="Century Schoolbook"/>
      <family val="1"/>
    </font>
    <font>
      <sz val="11"/>
      <color rgb="FFFF0000"/>
      <name val="Century Schoolbook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/>
    <xf numFmtId="0" fontId="0" fillId="2" borderId="1" xfId="0" applyFill="1" applyBorder="1"/>
    <xf numFmtId="165" fontId="2" fillId="2" borderId="1" xfId="3" applyNumberFormat="1" applyFont="1" applyFill="1" applyBorder="1" applyAlignment="1">
      <alignment horizontal="center" vertical="center"/>
    </xf>
    <xf numFmtId="165" fontId="3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4" fillId="0" borderId="1" xfId="2" applyNumberFormat="1" applyFont="1" applyBorder="1" applyAlignment="1">
      <alignment horizontal="center" vertical="center"/>
    </xf>
    <xf numFmtId="165" fontId="2" fillId="3" borderId="2" xfId="3" applyNumberFormat="1" applyFont="1" applyFill="1" applyBorder="1" applyAlignment="1">
      <alignment horizontal="center" vertical="center"/>
    </xf>
    <xf numFmtId="165" fontId="3" fillId="0" borderId="2" xfId="3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67" fontId="0" fillId="0" borderId="0" xfId="1" applyNumberFormat="1" applyFont="1"/>
    <xf numFmtId="41" fontId="0" fillId="0" borderId="0" xfId="4" applyFont="1"/>
    <xf numFmtId="166" fontId="0" fillId="0" borderId="0" xfId="0" applyNumberFormat="1"/>
    <xf numFmtId="41" fontId="0" fillId="0" borderId="0" xfId="0" applyNumberFormat="1"/>
    <xf numFmtId="166" fontId="7" fillId="0" borderId="0" xfId="2" applyNumberFormat="1" applyFont="1" applyFill="1" applyBorder="1"/>
    <xf numFmtId="170" fontId="0" fillId="0" borderId="0" xfId="4" applyNumberFormat="1" applyFont="1"/>
    <xf numFmtId="171" fontId="0" fillId="0" borderId="0" xfId="4" applyNumberFormat="1" applyFont="1"/>
    <xf numFmtId="172" fontId="0" fillId="0" borderId="0" xfId="0" applyNumberFormat="1"/>
    <xf numFmtId="173" fontId="8" fillId="6" borderId="3" xfId="2" applyNumberFormat="1" applyFont="1" applyFill="1" applyBorder="1"/>
    <xf numFmtId="173" fontId="8" fillId="0" borderId="3" xfId="2" applyNumberFormat="1" applyFont="1" applyBorder="1"/>
    <xf numFmtId="173" fontId="7" fillId="0" borderId="3" xfId="2" applyNumberFormat="1" applyFont="1" applyBorder="1"/>
    <xf numFmtId="173" fontId="7" fillId="7" borderId="3" xfId="2" applyNumberFormat="1" applyFont="1" applyFill="1" applyBorder="1"/>
    <xf numFmtId="173" fontId="7" fillId="6" borderId="3" xfId="2" applyNumberFormat="1" applyFont="1" applyFill="1" applyBorder="1"/>
    <xf numFmtId="173" fontId="4" fillId="0" borderId="4" xfId="2" applyNumberFormat="1" applyFont="1" applyBorder="1"/>
    <xf numFmtId="173" fontId="6" fillId="0" borderId="4" xfId="2" applyNumberFormat="1" applyFont="1" applyFill="1" applyBorder="1"/>
    <xf numFmtId="173" fontId="4" fillId="0" borderId="5" xfId="2" applyNumberFormat="1" applyFont="1" applyBorder="1"/>
    <xf numFmtId="173" fontId="6" fillId="0" borderId="5" xfId="2" applyNumberFormat="1" applyFont="1" applyFill="1" applyBorder="1"/>
    <xf numFmtId="173" fontId="6" fillId="7" borderId="5" xfId="2" applyNumberFormat="1" applyFont="1" applyFill="1" applyBorder="1"/>
    <xf numFmtId="173" fontId="4" fillId="5" borderId="5" xfId="2" applyNumberFormat="1" applyFont="1" applyFill="1" applyBorder="1"/>
    <xf numFmtId="173" fontId="4" fillId="0" borderId="6" xfId="2" applyNumberFormat="1" applyFont="1" applyBorder="1"/>
    <xf numFmtId="173" fontId="6" fillId="0" borderId="6" xfId="2" applyNumberFormat="1" applyFont="1" applyFill="1" applyBorder="1"/>
  </cellXfs>
  <cellStyles count="5">
    <cellStyle name="Milliers" xfId="1" builtinId="3"/>
    <cellStyle name="Milliers [0]" xfId="4" builtinId="6"/>
    <cellStyle name="Milliers 21" xfId="3" xr:uid="{49C2E7BB-8073-4906-8585-5ACAE4738E8F}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isinvestgroup-my.sharepoint.com/personal/akambire_coris-assurances_com/Documents/Documents/DG%20CAV%20RCI%202025/Informations%20produits/OUTIL%20DE%20TARIFICATION%20CORIS%20VIE%20C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TARIF PE"/>
      <sheetName val="TARIF TD"/>
      <sheetName val="TARIF FLEX"/>
      <sheetName val="TARIFICATION"/>
    </sheetNames>
    <sheetDataSet>
      <sheetData sheetId="0"/>
      <sheetData sheetId="1"/>
      <sheetData sheetId="2"/>
      <sheetData sheetId="3"/>
      <sheetData sheetId="4">
        <row r="18">
          <cell r="D18">
            <v>10000000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21C0-F30B-4027-9888-682650186E02}">
  <sheetPr codeName="Feuil1"/>
  <dimension ref="A1:I4"/>
  <sheetViews>
    <sheetView tabSelected="1" workbookViewId="0">
      <selection activeCell="G9" sqref="G9"/>
    </sheetView>
  </sheetViews>
  <sheetFormatPr baseColWidth="10" defaultRowHeight="14.5" x14ac:dyDescent="0.35"/>
  <cols>
    <col min="1" max="1" width="15.08984375" customWidth="1"/>
  </cols>
  <sheetData>
    <row r="1" spans="1:9" x14ac:dyDescent="0.3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3">
        <v>5</v>
      </c>
      <c r="G1" s="2">
        <v>6</v>
      </c>
    </row>
    <row r="2" spans="1:9" x14ac:dyDescent="0.35">
      <c r="A2" s="4">
        <v>1</v>
      </c>
      <c r="B2" s="5">
        <v>0.192</v>
      </c>
      <c r="C2" s="5">
        <v>0.38400000000000001</v>
      </c>
      <c r="D2" s="5">
        <v>0.57599999999999996</v>
      </c>
      <c r="E2" s="5">
        <v>0.76800000000000002</v>
      </c>
      <c r="F2" s="5">
        <v>0.96</v>
      </c>
      <c r="G2" s="5">
        <v>1.1519999999999999</v>
      </c>
    </row>
    <row r="4" spans="1:9" x14ac:dyDescent="0.35">
      <c r="I4">
        <f>E2*177698</f>
        <v>136472.06400000001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36F4-B4DC-4375-8C8B-A5AF941D7DCC}">
  <sheetPr codeName="Feuil2"/>
  <dimension ref="A1:Q49"/>
  <sheetViews>
    <sheetView workbookViewId="0">
      <selection activeCell="F12" sqref="F12"/>
    </sheetView>
  </sheetViews>
  <sheetFormatPr baseColWidth="10" defaultRowHeight="14.5" x14ac:dyDescent="0.35"/>
  <cols>
    <col min="1" max="1" width="22.6328125" customWidth="1"/>
  </cols>
  <sheetData>
    <row r="1" spans="1:16" ht="15" thickBot="1" x14ac:dyDescent="0.4">
      <c r="A1" t="s">
        <v>1</v>
      </c>
      <c r="B1" s="6">
        <v>1</v>
      </c>
      <c r="C1" s="6">
        <v>2</v>
      </c>
      <c r="D1" s="6">
        <v>3</v>
      </c>
      <c r="E1" s="6">
        <v>4</v>
      </c>
      <c r="F1" s="7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</row>
    <row r="2" spans="1:16" x14ac:dyDescent="0.35">
      <c r="A2" s="8">
        <v>18</v>
      </c>
      <c r="B2" s="23">
        <v>2.7219964774029565E-3</v>
      </c>
      <c r="C2" s="23">
        <v>5.5181059718876681E-3</v>
      </c>
      <c r="D2" s="23">
        <v>8.3121693826626805E-3</v>
      </c>
      <c r="E2" s="23">
        <v>1.1064017497147749E-2</v>
      </c>
      <c r="F2" s="24">
        <v>1.3749754066198333E-2</v>
      </c>
      <c r="G2" s="23">
        <v>1.6364751463578634E-2</v>
      </c>
      <c r="H2" s="23">
        <v>1.891642496462374E-2</v>
      </c>
      <c r="I2" s="23">
        <v>2.1406962384704818E-2</v>
      </c>
      <c r="J2" s="23">
        <v>2.3849130901327658E-2</v>
      </c>
      <c r="K2" s="23">
        <v>2.6245037811584424E-2</v>
      </c>
      <c r="L2" s="23">
        <v>2.8593319366265045E-2</v>
      </c>
      <c r="M2" s="23">
        <v>3.0898438382249562E-2</v>
      </c>
      <c r="N2" s="23">
        <v>3.3156711446592005E-2</v>
      </c>
      <c r="O2" s="23">
        <v>3.5364889905614927E-2</v>
      </c>
      <c r="P2" s="23">
        <v>3.754331167154025E-2</v>
      </c>
    </row>
    <row r="3" spans="1:16" x14ac:dyDescent="0.35">
      <c r="A3" s="8">
        <f>A2+1</f>
        <v>19</v>
      </c>
      <c r="B3" s="25">
        <v>2.8978462664175993E-3</v>
      </c>
      <c r="C3" s="25">
        <v>5.7935720021297212E-3</v>
      </c>
      <c r="D3" s="25">
        <v>8.645546433044651E-3</v>
      </c>
      <c r="E3" s="25">
        <v>1.1429003842189757E-2</v>
      </c>
      <c r="F3" s="26">
        <v>1.4139148226605846E-2</v>
      </c>
      <c r="G3" s="25">
        <v>1.6783664667290858E-2</v>
      </c>
      <c r="H3" s="25">
        <v>1.9364820583534871E-2</v>
      </c>
      <c r="I3" s="25">
        <v>2.1895847688094782E-2</v>
      </c>
      <c r="J3" s="25">
        <v>2.437892995231462E-2</v>
      </c>
      <c r="K3" s="25">
        <v>2.6812654006809353E-2</v>
      </c>
      <c r="L3" s="25">
        <v>2.9201645048574681E-2</v>
      </c>
      <c r="M3" s="25">
        <v>3.1542085643252525E-2</v>
      </c>
      <c r="N3" s="25">
        <v>3.3830608934520341E-2</v>
      </c>
      <c r="O3" s="25">
        <v>3.6088292831921817E-2</v>
      </c>
      <c r="P3" s="25">
        <v>3.8333419185542054E-2</v>
      </c>
    </row>
    <row r="4" spans="1:16" x14ac:dyDescent="0.35">
      <c r="A4" s="8">
        <f t="shared" ref="A4:A49" si="0">A3+1</f>
        <v>20</v>
      </c>
      <c r="B4" s="25">
        <v>3.001544098674141E-3</v>
      </c>
      <c r="C4" s="25">
        <v>5.9577380907743886E-3</v>
      </c>
      <c r="D4" s="25">
        <v>8.8429112469523546E-3</v>
      </c>
      <c r="E4" s="25">
        <v>1.1652092304148882E-2</v>
      </c>
      <c r="F4" s="26">
        <v>1.4393247178898371E-2</v>
      </c>
      <c r="G4" s="25">
        <v>1.7068726148682368E-2</v>
      </c>
      <c r="H4" s="25">
        <v>1.9692244452085443E-2</v>
      </c>
      <c r="I4" s="25">
        <v>2.2266065869208915E-2</v>
      </c>
      <c r="J4" s="25">
        <v>2.4788725381979907E-2</v>
      </c>
      <c r="K4" s="25">
        <v>2.726501720574017E-2</v>
      </c>
      <c r="L4" s="25">
        <v>2.9690984405815871E-2</v>
      </c>
      <c r="M4" s="25">
        <v>3.2063137091019663E-2</v>
      </c>
      <c r="N4" s="25">
        <v>3.4403323419905728E-2</v>
      </c>
      <c r="O4" s="25">
        <v>3.6730493315306541E-2</v>
      </c>
      <c r="P4" s="25">
        <v>3.9068937761759452E-2</v>
      </c>
    </row>
    <row r="5" spans="1:16" x14ac:dyDescent="0.35">
      <c r="A5" s="8">
        <f t="shared" si="0"/>
        <v>21</v>
      </c>
      <c r="B5" s="25">
        <v>3.0644972540576358E-3</v>
      </c>
      <c r="C5" s="25">
        <v>6.0553717495120439E-3</v>
      </c>
      <c r="D5" s="25">
        <v>8.9674700958771118E-3</v>
      </c>
      <c r="E5" s="25">
        <v>1.1809050049379585E-2</v>
      </c>
      <c r="F5" s="26">
        <v>1.4582547992377222E-2</v>
      </c>
      <c r="G5" s="25">
        <v>1.730218163557963E-2</v>
      </c>
      <c r="H5" s="25">
        <v>1.9970297695042265E-2</v>
      </c>
      <c r="I5" s="25">
        <v>2.25853774802213E-2</v>
      </c>
      <c r="J5" s="25">
        <v>2.5152390847556959E-2</v>
      </c>
      <c r="K5" s="25">
        <v>2.7667235895930824E-2</v>
      </c>
      <c r="L5" s="25">
        <v>3.0126294878338077E-2</v>
      </c>
      <c r="M5" s="25">
        <v>3.2552216383495966E-2</v>
      </c>
      <c r="N5" s="25">
        <v>3.4964644584500021E-2</v>
      </c>
      <c r="O5" s="25">
        <v>3.7388760391538114E-2</v>
      </c>
      <c r="P5" s="25">
        <v>3.9819466075941244E-2</v>
      </c>
    </row>
    <row r="6" spans="1:16" x14ac:dyDescent="0.35">
      <c r="A6" s="8">
        <f t="shared" si="0"/>
        <v>22</v>
      </c>
      <c r="B6" s="25">
        <v>3.1006173739118814E-3</v>
      </c>
      <c r="C6" s="25">
        <v>6.1195680991939054E-3</v>
      </c>
      <c r="D6" s="25">
        <v>9.0654129303896283E-3</v>
      </c>
      <c r="E6" s="25">
        <v>1.1940677646992451E-2</v>
      </c>
      <c r="F6" s="26">
        <v>1.4760101644089158E-2</v>
      </c>
      <c r="G6" s="25">
        <v>1.7526117744783562E-2</v>
      </c>
      <c r="H6" s="25">
        <v>2.0237151533869371E-2</v>
      </c>
      <c r="I6" s="25">
        <v>2.2898355224603213E-2</v>
      </c>
      <c r="J6" s="25">
        <v>2.5505476406563598E-2</v>
      </c>
      <c r="K6" s="25">
        <v>2.805476458830242E-2</v>
      </c>
      <c r="L6" s="25">
        <v>3.0569699393514373E-2</v>
      </c>
      <c r="M6" s="25">
        <v>3.3070645790535189E-2</v>
      </c>
      <c r="N6" s="25">
        <v>3.5583708641918656E-2</v>
      </c>
      <c r="O6" s="25">
        <v>3.8103603170218367E-2</v>
      </c>
      <c r="P6" s="25">
        <v>4.0644393215806256E-2</v>
      </c>
    </row>
    <row r="7" spans="1:16" x14ac:dyDescent="0.35">
      <c r="A7" s="8">
        <f t="shared" si="0"/>
        <v>23</v>
      </c>
      <c r="B7" s="25">
        <v>3.1298217119543796E-3</v>
      </c>
      <c r="C7" s="25">
        <v>6.1838527153466761E-3</v>
      </c>
      <c r="D7" s="25">
        <v>9.1647115489399932E-3</v>
      </c>
      <c r="E7" s="25">
        <v>1.2087678912209602E-2</v>
      </c>
      <c r="F7" s="26">
        <v>1.4955276973704959E-2</v>
      </c>
      <c r="G7" s="25">
        <v>1.7765873497810218E-2</v>
      </c>
      <c r="H7" s="25">
        <v>2.0524809912850189E-2</v>
      </c>
      <c r="I7" s="25">
        <v>2.3227677638600668E-2</v>
      </c>
      <c r="J7" s="25">
        <v>2.5870588446788675E-2</v>
      </c>
      <c r="K7" s="25">
        <v>2.8477884250454631E-2</v>
      </c>
      <c r="L7" s="25">
        <v>3.1070677921540002E-2</v>
      </c>
      <c r="M7" s="25">
        <v>3.3676033023859929E-2</v>
      </c>
      <c r="N7" s="25">
        <v>3.628847069647901E-2</v>
      </c>
      <c r="O7" s="25">
        <v>3.8922571274406022E-2</v>
      </c>
      <c r="P7" s="25">
        <v>4.1578882491363739E-2</v>
      </c>
    </row>
    <row r="8" spans="1:16" x14ac:dyDescent="0.35">
      <c r="A8" s="8">
        <f t="shared" si="0"/>
        <v>24</v>
      </c>
      <c r="B8" s="25">
        <v>3.1662704089476411E-3</v>
      </c>
      <c r="C8" s="25">
        <v>6.2566794806214786E-3</v>
      </c>
      <c r="D8" s="25">
        <v>9.2870694990464034E-3</v>
      </c>
      <c r="E8" s="25">
        <v>1.2260055325576365E-2</v>
      </c>
      <c r="F8" s="26">
        <v>1.5173944737923786E-2</v>
      </c>
      <c r="G8" s="25">
        <v>1.8034275468491373E-2</v>
      </c>
      <c r="H8" s="25">
        <v>2.0836476916295095E-2</v>
      </c>
      <c r="I8" s="25">
        <v>2.3576517955878042E-2</v>
      </c>
      <c r="J8" s="25">
        <v>2.6279635095602921E-2</v>
      </c>
      <c r="K8" s="25">
        <v>2.8967717131491086E-2</v>
      </c>
      <c r="L8" s="25">
        <v>3.166882224670222E-2</v>
      </c>
      <c r="M8" s="25">
        <v>3.437727022540512E-2</v>
      </c>
      <c r="N8" s="25">
        <v>3.7108177247900345E-2</v>
      </c>
      <c r="O8" s="25">
        <v>3.9862111177800467E-2</v>
      </c>
      <c r="P8" s="25">
        <v>4.2651095568277737E-2</v>
      </c>
    </row>
    <row r="9" spans="1:16" x14ac:dyDescent="0.35">
      <c r="A9" s="8">
        <f t="shared" si="0"/>
        <v>25</v>
      </c>
      <c r="B9" s="25">
        <v>3.204086576271855E-3</v>
      </c>
      <c r="C9" s="25">
        <v>6.3459463604345276E-3</v>
      </c>
      <c r="D9" s="25">
        <v>9.4282903988151135E-3</v>
      </c>
      <c r="E9" s="25">
        <v>1.2449364222477645E-2</v>
      </c>
      <c r="F9" s="26">
        <v>1.5414909263589511E-2</v>
      </c>
      <c r="G9" s="25">
        <v>1.8320186796331968E-2</v>
      </c>
      <c r="H9" s="25">
        <v>2.1161017414463249E-2</v>
      </c>
      <c r="I9" s="25">
        <v>2.3963565925231061E-2</v>
      </c>
      <c r="J9" s="25">
        <v>2.6750526281402249E-2</v>
      </c>
      <c r="K9" s="25">
        <v>2.9550988757413466E-2</v>
      </c>
      <c r="L9" s="25">
        <v>3.235906419656312E-2</v>
      </c>
      <c r="M9" s="25">
        <v>3.5190424812225653E-2</v>
      </c>
      <c r="N9" s="25">
        <v>3.8045659356289868E-2</v>
      </c>
      <c r="O9" s="25">
        <v>4.0937233655908387E-2</v>
      </c>
      <c r="P9" s="25">
        <v>4.3881268056082424E-2</v>
      </c>
    </row>
    <row r="10" spans="1:16" x14ac:dyDescent="0.35">
      <c r="A10" s="8">
        <f t="shared" si="0"/>
        <v>26</v>
      </c>
      <c r="B10" s="25">
        <v>3.2575365597429084E-3</v>
      </c>
      <c r="C10" s="25">
        <v>6.4533661271041747E-3</v>
      </c>
      <c r="D10" s="25">
        <v>9.5856696372322598E-3</v>
      </c>
      <c r="E10" s="25">
        <v>1.2660399909945795E-2</v>
      </c>
      <c r="F10" s="26">
        <v>1.5672643749347581E-2</v>
      </c>
      <c r="G10" s="25">
        <v>1.861806787210676E-2</v>
      </c>
      <c r="H10" s="25">
        <v>2.1523800419529227E-2</v>
      </c>
      <c r="I10" s="25">
        <v>2.4413370888760482E-2</v>
      </c>
      <c r="J10" s="25">
        <v>2.7316940597943398E-2</v>
      </c>
      <c r="K10" s="25">
        <v>3.0228403563813462E-2</v>
      </c>
      <c r="L10" s="25">
        <v>3.3164009018209935E-2</v>
      </c>
      <c r="M10" s="25">
        <v>3.6124367389647839E-2</v>
      </c>
      <c r="N10" s="25">
        <v>3.9122403471239124E-2</v>
      </c>
      <c r="O10" s="25">
        <v>4.2174831125729E-2</v>
      </c>
      <c r="P10" s="25">
        <v>4.5297136287129308E-2</v>
      </c>
    </row>
    <row r="11" spans="1:16" x14ac:dyDescent="0.35">
      <c r="A11" s="8">
        <f t="shared" si="0"/>
        <v>27</v>
      </c>
      <c r="B11" s="25">
        <v>3.3136468268238576E-3</v>
      </c>
      <c r="C11" s="25">
        <v>6.5614256486322999E-3</v>
      </c>
      <c r="D11" s="25">
        <v>9.7495087415392125E-3</v>
      </c>
      <c r="E11" s="25">
        <v>1.2872801780064723E-2</v>
      </c>
      <c r="F11" s="26">
        <v>1.5926811730316893E-2</v>
      </c>
      <c r="G11" s="25">
        <v>1.8939666838017576E-2</v>
      </c>
      <c r="H11" s="25">
        <v>2.1935764037330364E-2</v>
      </c>
      <c r="I11" s="25">
        <v>2.4946376571727821E-2</v>
      </c>
      <c r="J11" s="25">
        <v>2.7965173355135861E-2</v>
      </c>
      <c r="K11" s="25">
        <v>3.1009002662591569E-2</v>
      </c>
      <c r="L11" s="25">
        <v>3.4078497426630633E-2</v>
      </c>
      <c r="M11" s="25">
        <v>3.7187058925005866E-2</v>
      </c>
      <c r="N11" s="25">
        <v>4.0352017192715132E-2</v>
      </c>
      <c r="O11" s="25">
        <v>4.3589429067276558E-2</v>
      </c>
      <c r="P11" s="25">
        <v>4.6926618049948896E-2</v>
      </c>
    </row>
    <row r="12" spans="1:16" x14ac:dyDescent="0.35">
      <c r="A12" s="8">
        <f t="shared" si="0"/>
        <v>28</v>
      </c>
      <c r="B12" s="25">
        <v>3.3676749375256341E-3</v>
      </c>
      <c r="C12" s="25">
        <v>6.673450398169075E-3</v>
      </c>
      <c r="D12" s="25">
        <v>9.9120439925856531E-3</v>
      </c>
      <c r="E12" s="25">
        <v>1.3078796820504907E-2</v>
      </c>
      <c r="F12" s="26">
        <v>1.6202875519604854E-2</v>
      </c>
      <c r="G12" s="25">
        <v>1.9309577669629388E-2</v>
      </c>
      <c r="H12" s="25">
        <v>2.2431331007821711E-2</v>
      </c>
      <c r="I12" s="25">
        <v>2.5561570727565128E-2</v>
      </c>
      <c r="J12" s="25">
        <v>2.8717767080590418E-2</v>
      </c>
      <c r="K12" s="25">
        <v>3.1900576364987623E-2</v>
      </c>
      <c r="L12" s="25">
        <v>3.5123894584670523E-2</v>
      </c>
      <c r="M12" s="25">
        <v>3.8405691536146452E-2</v>
      </c>
      <c r="N12" s="25">
        <v>4.1762616816648647E-2</v>
      </c>
      <c r="O12" s="25">
        <v>4.5223002611169703E-2</v>
      </c>
      <c r="P12" s="25">
        <v>4.8779479482089466E-2</v>
      </c>
    </row>
    <row r="13" spans="1:16" x14ac:dyDescent="0.35">
      <c r="A13" s="8">
        <f t="shared" si="0"/>
        <v>29</v>
      </c>
      <c r="B13" s="25">
        <v>3.4279730538186517E-3</v>
      </c>
      <c r="C13" s="25">
        <v>6.7862808717878888E-3</v>
      </c>
      <c r="D13" s="25">
        <v>1.0070092337947867E-2</v>
      </c>
      <c r="E13" s="25">
        <v>1.3309652231238074E-2</v>
      </c>
      <c r="F13" s="26">
        <v>1.6531193253401657E-2</v>
      </c>
      <c r="G13" s="25">
        <v>1.9768341829097355E-2</v>
      </c>
      <c r="H13" s="25">
        <v>2.3014290484419733E-2</v>
      </c>
      <c r="I13" s="25">
        <v>2.628715525685818E-2</v>
      </c>
      <c r="J13" s="25">
        <v>2.9587616704482875E-2</v>
      </c>
      <c r="K13" s="25">
        <v>3.2930084495324606E-2</v>
      </c>
      <c r="L13" s="25">
        <v>3.6333192677262038E-2</v>
      </c>
      <c r="M13" s="25">
        <v>3.9814206297892014E-2</v>
      </c>
      <c r="N13" s="25">
        <v>4.340250483802522E-2</v>
      </c>
      <c r="O13" s="25">
        <v>4.7090446449664272E-2</v>
      </c>
      <c r="P13" s="25">
        <v>5.088467817739014E-2</v>
      </c>
    </row>
    <row r="14" spans="1:16" x14ac:dyDescent="0.35">
      <c r="A14" s="8">
        <f t="shared" si="0"/>
        <v>30</v>
      </c>
      <c r="B14" s="25">
        <v>3.4826292015813459E-3</v>
      </c>
      <c r="C14" s="25">
        <v>6.8880042667687612E-3</v>
      </c>
      <c r="D14" s="25">
        <v>1.0247489607652892E-2</v>
      </c>
      <c r="E14" s="25">
        <v>1.358828903581951E-2</v>
      </c>
      <c r="F14" s="26">
        <v>1.6945273794409195E-2</v>
      </c>
      <c r="G14" s="25">
        <v>2.0311384403261957E-2</v>
      </c>
      <c r="H14" s="25">
        <v>2.3705407538465052E-2</v>
      </c>
      <c r="I14" s="25">
        <v>2.7128048951705661E-2</v>
      </c>
      <c r="J14" s="25">
        <v>3.059425174331561E-2</v>
      </c>
      <c r="K14" s="25">
        <v>3.4123339776026815E-2</v>
      </c>
      <c r="L14" s="25">
        <v>3.7733217233191889E-2</v>
      </c>
      <c r="M14" s="25">
        <v>4.1454351196253188E-2</v>
      </c>
      <c r="N14" s="25">
        <v>4.5278816923217946E-2</v>
      </c>
      <c r="O14" s="25">
        <v>4.9213507525979597E-2</v>
      </c>
      <c r="P14" s="25">
        <v>5.32552283222964E-2</v>
      </c>
    </row>
    <row r="15" spans="1:16" x14ac:dyDescent="0.35">
      <c r="A15" s="8">
        <f t="shared" si="0"/>
        <v>31</v>
      </c>
      <c r="B15" s="25">
        <v>3.5316060763807828E-3</v>
      </c>
      <c r="C15" s="25">
        <v>7.0156213804998908E-3</v>
      </c>
      <c r="D15" s="25">
        <v>1.0480258119370636E-2</v>
      </c>
      <c r="E15" s="25">
        <v>1.3961680149193518E-2</v>
      </c>
      <c r="F15" s="27">
        <v>1.7452566307819918E-2</v>
      </c>
      <c r="G15" s="25">
        <v>2.0972399658981351E-2</v>
      </c>
      <c r="H15" s="25">
        <v>2.4521912115286312E-2</v>
      </c>
      <c r="I15" s="25">
        <v>2.8116600690403372E-2</v>
      </c>
      <c r="J15" s="25">
        <v>3.1776505547232901E-2</v>
      </c>
      <c r="K15" s="25">
        <v>3.5520194544383807E-2</v>
      </c>
      <c r="L15" s="25">
        <v>3.9379264122157601E-2</v>
      </c>
      <c r="M15" s="25">
        <v>4.3345495782902858E-2</v>
      </c>
      <c r="N15" s="25">
        <v>4.7426038153534994E-2</v>
      </c>
      <c r="O15" s="25">
        <v>5.1617578130797807E-2</v>
      </c>
      <c r="P15" s="25">
        <v>5.5918065770923342E-2</v>
      </c>
    </row>
    <row r="16" spans="1:16" x14ac:dyDescent="0.35">
      <c r="A16" s="8">
        <f t="shared" si="0"/>
        <v>32</v>
      </c>
      <c r="B16" s="25">
        <v>3.6133147039132518E-3</v>
      </c>
      <c r="C16" s="25">
        <v>7.2065316617948285E-3</v>
      </c>
      <c r="D16" s="25">
        <v>1.0817156849351839E-2</v>
      </c>
      <c r="E16" s="25">
        <v>1.443759740015511E-2</v>
      </c>
      <c r="F16" s="26">
        <v>1.8088059436885896E-2</v>
      </c>
      <c r="G16" s="25">
        <v>2.1769302035024463E-2</v>
      </c>
      <c r="H16" s="25">
        <v>2.5497397336185463E-2</v>
      </c>
      <c r="I16" s="25">
        <v>2.9293129237383093E-2</v>
      </c>
      <c r="J16" s="25">
        <v>3.3175754690919615E-2</v>
      </c>
      <c r="K16" s="25">
        <v>3.7178042749846471E-2</v>
      </c>
      <c r="L16" s="25">
        <v>4.1291469910155858E-2</v>
      </c>
      <c r="M16" s="25">
        <v>4.5523450099885267E-2</v>
      </c>
      <c r="N16" s="25">
        <v>4.987054725929721E-2</v>
      </c>
      <c r="O16" s="25">
        <v>5.4330635366743596E-2</v>
      </c>
      <c r="P16" s="25">
        <v>5.8884161423795892E-2</v>
      </c>
    </row>
    <row r="17" spans="1:17" x14ac:dyDescent="0.35">
      <c r="A17" s="8">
        <f t="shared" si="0"/>
        <v>33</v>
      </c>
      <c r="B17" s="25">
        <v>3.7268329343299695E-3</v>
      </c>
      <c r="C17" s="25">
        <v>7.4717214340330436E-3</v>
      </c>
      <c r="D17" s="25">
        <v>1.1226790287284865E-2</v>
      </c>
      <c r="E17" s="25">
        <v>1.5012996993831842E-2</v>
      </c>
      <c r="F17" s="26">
        <v>1.8831128855841546E-2</v>
      </c>
      <c r="G17" s="25">
        <v>2.2697855667372292E-2</v>
      </c>
      <c r="H17" s="25">
        <v>2.6634734187396366E-2</v>
      </c>
      <c r="I17" s="25">
        <v>3.0661737449798488E-2</v>
      </c>
      <c r="J17" s="25">
        <v>3.4812853044966452E-2</v>
      </c>
      <c r="K17" s="25">
        <v>3.9079240517168087E-2</v>
      </c>
      <c r="L17" s="25">
        <v>4.346858948590223E-2</v>
      </c>
      <c r="M17" s="25">
        <v>4.797733611944259E-2</v>
      </c>
      <c r="N17" s="25">
        <v>5.2603275338722104E-2</v>
      </c>
      <c r="O17" s="25">
        <v>5.7326127055073006E-2</v>
      </c>
      <c r="P17" s="25">
        <v>6.2119660047918884E-2</v>
      </c>
      <c r="Q17" s="11">
        <f>F15*15000000</f>
        <v>261788.49461729877</v>
      </c>
    </row>
    <row r="18" spans="1:17" x14ac:dyDescent="0.35">
      <c r="A18" s="8">
        <f t="shared" si="0"/>
        <v>34</v>
      </c>
      <c r="B18" s="25">
        <v>3.8845266035364245E-3</v>
      </c>
      <c r="C18" s="25">
        <v>7.7796131621146753E-3</v>
      </c>
      <c r="D18" s="25">
        <v>1.1706998631464672E-2</v>
      </c>
      <c r="E18" s="25">
        <v>1.5667499670404213E-2</v>
      </c>
      <c r="F18" s="26">
        <v>1.967840765049219E-2</v>
      </c>
      <c r="G18" s="25">
        <v>2.3762083131654621E-2</v>
      </c>
      <c r="H18" s="25">
        <v>2.7939243895338063E-2</v>
      </c>
      <c r="I18" s="25">
        <v>3.2245144849415444E-2</v>
      </c>
      <c r="J18" s="25">
        <v>3.6670615898306703E-2</v>
      </c>
      <c r="K18" s="25">
        <v>4.1223633389376152E-2</v>
      </c>
      <c r="L18" s="25">
        <v>4.590050060397588E-2</v>
      </c>
      <c r="M18" s="25">
        <v>5.0698930240815149E-2</v>
      </c>
      <c r="N18" s="25">
        <v>5.5597886014312113E-2</v>
      </c>
      <c r="O18" s="25">
        <v>6.0570158603233192E-2</v>
      </c>
      <c r="P18" s="25">
        <v>6.5593765186747671E-2</v>
      </c>
    </row>
    <row r="19" spans="1:17" x14ac:dyDescent="0.35">
      <c r="A19" s="8">
        <f t="shared" si="0"/>
        <v>35</v>
      </c>
      <c r="B19" s="25">
        <v>4.0408774483123404E-3</v>
      </c>
      <c r="C19" s="25">
        <v>8.115262737382457E-3</v>
      </c>
      <c r="D19" s="25">
        <v>1.2224003093106407E-2</v>
      </c>
      <c r="E19" s="25">
        <v>1.6385037093313438E-2</v>
      </c>
      <c r="F19" s="26">
        <v>2.0621562241057163E-2</v>
      </c>
      <c r="G19" s="25">
        <v>2.4955071772641162E-2</v>
      </c>
      <c r="H19" s="25">
        <v>2.9422140167226194E-2</v>
      </c>
      <c r="I19" s="25">
        <v>3.401325409773439E-2</v>
      </c>
      <c r="J19" s="25">
        <v>3.8736688461706449E-2</v>
      </c>
      <c r="K19" s="25">
        <v>4.3588608174403562E-2</v>
      </c>
      <c r="L19" s="25">
        <v>4.8566640322139684E-2</v>
      </c>
      <c r="M19" s="25">
        <v>5.3648961243046044E-2</v>
      </c>
      <c r="N19" s="25">
        <v>5.8807343186364588E-2</v>
      </c>
      <c r="O19" s="25">
        <v>6.4018980526697966E-2</v>
      </c>
      <c r="P19" s="25">
        <v>6.9268913485749248E-2</v>
      </c>
    </row>
    <row r="20" spans="1:17" x14ac:dyDescent="0.35">
      <c r="A20" s="8">
        <f t="shared" si="0"/>
        <v>36</v>
      </c>
      <c r="B20" s="25">
        <v>4.2274601398897237E-3</v>
      </c>
      <c r="C20" s="25">
        <v>8.4905660679359916E-3</v>
      </c>
      <c r="D20" s="25">
        <v>1.2807930315197879E-2</v>
      </c>
      <c r="E20" s="25">
        <v>1.7203621916031853E-2</v>
      </c>
      <c r="F20" s="26">
        <v>2.1699941608660771E-2</v>
      </c>
      <c r="G20" s="25">
        <v>2.6334837977182494E-2</v>
      </c>
      <c r="H20" s="25">
        <v>3.109844027836433E-2</v>
      </c>
      <c r="I20" s="25">
        <v>3.5999334298044659E-2</v>
      </c>
      <c r="J20" s="25">
        <v>4.1033540867167012E-2</v>
      </c>
      <c r="K20" s="25">
        <v>4.6198597921564277E-2</v>
      </c>
      <c r="L20" s="25">
        <v>5.14718618833441E-2</v>
      </c>
      <c r="M20" s="25">
        <v>5.6824044483797895E-2</v>
      </c>
      <c r="N20" s="25">
        <v>6.2231483289087855E-2</v>
      </c>
      <c r="O20" s="25">
        <v>6.767865648132855E-2</v>
      </c>
      <c r="P20" s="25">
        <v>7.3151974860645202E-2</v>
      </c>
    </row>
    <row r="21" spans="1:17" x14ac:dyDescent="0.35">
      <c r="A21" s="8">
        <f t="shared" si="0"/>
        <v>37</v>
      </c>
      <c r="B21" s="25">
        <v>4.4239865910233132E-3</v>
      </c>
      <c r="C21" s="25">
        <v>8.9042790962586566E-3</v>
      </c>
      <c r="D21" s="25">
        <v>1.3465854864861578E-2</v>
      </c>
      <c r="E21" s="25">
        <v>1.8131856218072267E-2</v>
      </c>
      <c r="F21" s="26">
        <v>2.2941663839840608E-2</v>
      </c>
      <c r="G21" s="25">
        <v>2.7885034485818031E-2</v>
      </c>
      <c r="H21" s="25">
        <v>3.2970877951365808E-2</v>
      </c>
      <c r="I21" s="25">
        <v>3.8195064901945623E-2</v>
      </c>
      <c r="J21" s="25">
        <v>4.3555040360260318E-2</v>
      </c>
      <c r="K21" s="25">
        <v>4.9027306227351207E-2</v>
      </c>
      <c r="L21" s="25">
        <v>5.4581468956769297E-2</v>
      </c>
      <c r="M21" s="25">
        <v>6.0192973144127193E-2</v>
      </c>
      <c r="N21" s="25">
        <v>6.5845711210736388E-2</v>
      </c>
      <c r="O21" s="25">
        <v>7.1525581128863258E-2</v>
      </c>
      <c r="P21" s="25">
        <v>7.7240589150225011E-2</v>
      </c>
    </row>
    <row r="22" spans="1:17" x14ac:dyDescent="0.35">
      <c r="A22" s="8">
        <f t="shared" si="0"/>
        <v>38</v>
      </c>
      <c r="B22" s="25">
        <v>4.6501616988162192E-3</v>
      </c>
      <c r="C22" s="25">
        <v>9.3846884960328263E-3</v>
      </c>
      <c r="D22" s="25">
        <v>1.4227600148334699E-2</v>
      </c>
      <c r="E22" s="25">
        <v>1.9219770448663472E-2</v>
      </c>
      <c r="F22" s="26">
        <v>2.4350567782568593E-2</v>
      </c>
      <c r="G22" s="25">
        <v>2.962923975812139E-2</v>
      </c>
      <c r="H22" s="25">
        <v>3.5051500478075356E-2</v>
      </c>
      <c r="I22" s="25">
        <v>4.0614698093794567E-2</v>
      </c>
      <c r="J22" s="25">
        <v>4.6294443581650538E-2</v>
      </c>
      <c r="K22" s="25">
        <v>5.2059191031320867E-2</v>
      </c>
      <c r="L22" s="25">
        <v>5.7883454026271867E-2</v>
      </c>
      <c r="M22" s="25">
        <v>6.3750514272912118E-2</v>
      </c>
      <c r="N22" s="25">
        <v>6.9645735068578574E-2</v>
      </c>
      <c r="O22" s="25">
        <v>7.557742622006243E-2</v>
      </c>
      <c r="P22" s="25">
        <v>8.1546688231953685E-2</v>
      </c>
    </row>
    <row r="23" spans="1:17" x14ac:dyDescent="0.35">
      <c r="A23" s="8">
        <f t="shared" si="0"/>
        <v>39</v>
      </c>
      <c r="B23" s="25">
        <v>4.9149992254330782E-3</v>
      </c>
      <c r="C23" s="25">
        <v>9.9425147595933443E-3</v>
      </c>
      <c r="D23" s="25">
        <v>1.5124978437646824E-2</v>
      </c>
      <c r="E23" s="25">
        <v>2.0451353385365606E-2</v>
      </c>
      <c r="F23" s="26">
        <v>2.5931239714535818E-2</v>
      </c>
      <c r="G23" s="25">
        <v>3.1560188156508413E-2</v>
      </c>
      <c r="H23" s="25">
        <v>3.7335445778508967E-2</v>
      </c>
      <c r="I23" s="25">
        <v>4.3231693887164871E-2</v>
      </c>
      <c r="J23" s="25">
        <v>4.9216184093578787E-2</v>
      </c>
      <c r="K23" s="25">
        <v>5.5262458480647807E-2</v>
      </c>
      <c r="L23" s="25">
        <v>6.1353161480736197E-2</v>
      </c>
      <c r="M23" s="25">
        <v>6.7473098463982722E-2</v>
      </c>
      <c r="N23" s="25">
        <v>7.363089599344036E-2</v>
      </c>
      <c r="O23" s="25">
        <v>7.982769652313651E-2</v>
      </c>
      <c r="P23" s="25">
        <v>8.6060371744760861E-2</v>
      </c>
    </row>
    <row r="24" spans="1:17" x14ac:dyDescent="0.35">
      <c r="A24" s="8">
        <f t="shared" si="0"/>
        <v>40</v>
      </c>
      <c r="B24" s="25">
        <v>5.2203553691743294E-3</v>
      </c>
      <c r="C24" s="25">
        <v>1.060160221037305E-2</v>
      </c>
      <c r="D24" s="25">
        <v>1.6132280309253091E-2</v>
      </c>
      <c r="E24" s="25">
        <v>2.1822358007984037E-2</v>
      </c>
      <c r="F24" s="26">
        <v>2.7667215377831077E-2</v>
      </c>
      <c r="G24" s="25">
        <v>3.3663993892094041E-2</v>
      </c>
      <c r="H24" s="25">
        <v>3.9786403711191104E-2</v>
      </c>
      <c r="I24" s="25">
        <v>4.6000440320039131E-2</v>
      </c>
      <c r="J24" s="25">
        <v>5.2278630958252449E-2</v>
      </c>
      <c r="K24" s="25">
        <v>5.8602954352683964E-2</v>
      </c>
      <c r="L24" s="25">
        <v>6.4957633054802746E-2</v>
      </c>
      <c r="M24" s="25">
        <v>7.1351624515748446E-2</v>
      </c>
      <c r="N24" s="25">
        <v>7.778611501052618E-2</v>
      </c>
      <c r="O24" s="25">
        <v>8.4257856238663636E-2</v>
      </c>
      <c r="P24" s="25">
        <v>9.0771873866019523E-2</v>
      </c>
    </row>
    <row r="25" spans="1:17" x14ac:dyDescent="0.35">
      <c r="A25" s="8">
        <f t="shared" si="0"/>
        <v>41</v>
      </c>
      <c r="B25" s="25">
        <v>5.5891353377481448E-3</v>
      </c>
      <c r="C25" s="25">
        <v>1.1333474766205644E-2</v>
      </c>
      <c r="D25" s="25">
        <v>1.7243371724849049E-2</v>
      </c>
      <c r="E25" s="25">
        <v>2.331402780771195E-2</v>
      </c>
      <c r="F25" s="26">
        <v>2.9542474057401135E-2</v>
      </c>
      <c r="G25" s="25">
        <v>3.5901405004428469E-2</v>
      </c>
      <c r="H25" s="25">
        <v>4.2355502470218853E-2</v>
      </c>
      <c r="I25" s="25">
        <v>4.8876232365846747E-2</v>
      </c>
      <c r="J25" s="25">
        <v>5.5444877219776263E-2</v>
      </c>
      <c r="K25" s="25">
        <v>6.2045050068590575E-2</v>
      </c>
      <c r="L25" s="25">
        <v>6.8686054407962369E-2</v>
      </c>
      <c r="M25" s="25">
        <v>7.5369122341109956E-2</v>
      </c>
      <c r="N25" s="25">
        <v>8.2090880079115344E-2</v>
      </c>
      <c r="O25" s="25">
        <v>8.8856547439518208E-2</v>
      </c>
      <c r="P25" s="25">
        <v>9.5657477497253909E-2</v>
      </c>
    </row>
    <row r="26" spans="1:17" x14ac:dyDescent="0.35">
      <c r="A26" s="8">
        <f t="shared" si="0"/>
        <v>42</v>
      </c>
      <c r="B26" s="25">
        <v>5.9681648642569566E-3</v>
      </c>
      <c r="C26" s="25">
        <v>1.2108338128604927E-2</v>
      </c>
      <c r="D26" s="25">
        <v>1.8415534419486193E-2</v>
      </c>
      <c r="E26" s="25">
        <v>2.4886669095504063E-2</v>
      </c>
      <c r="F26" s="26">
        <v>3.1493372742623961E-2</v>
      </c>
      <c r="G26" s="25">
        <v>3.8198951026350729E-2</v>
      </c>
      <c r="H26" s="25">
        <v>4.4973758040644185E-2</v>
      </c>
      <c r="I26" s="25">
        <v>5.1798346996650806E-2</v>
      </c>
      <c r="J26" s="25">
        <v>5.8655692420769276E-2</v>
      </c>
      <c r="K26" s="25">
        <v>6.5555460314927233E-2</v>
      </c>
      <c r="L26" s="25">
        <v>7.2498930790655031E-2</v>
      </c>
      <c r="M26" s="25">
        <v>7.9482598600964682E-2</v>
      </c>
      <c r="N26" s="25">
        <v>8.651188695108733E-2</v>
      </c>
      <c r="O26" s="25">
        <v>9.357781199266281E-2</v>
      </c>
      <c r="P26" s="25">
        <v>0.10067263591376896</v>
      </c>
    </row>
    <row r="27" spans="1:17" x14ac:dyDescent="0.35">
      <c r="A27" s="8">
        <f t="shared" si="0"/>
        <v>43</v>
      </c>
      <c r="B27" s="25">
        <v>6.3815218254041055E-3</v>
      </c>
      <c r="C27" s="25">
        <v>1.2936631763599106E-2</v>
      </c>
      <c r="D27" s="25">
        <v>1.9662123926811308E-2</v>
      </c>
      <c r="E27" s="25">
        <v>2.6528513799369668E-2</v>
      </c>
      <c r="F27" s="26">
        <v>3.3497664721872551E-2</v>
      </c>
      <c r="G27" s="25">
        <v>4.0538765512243405E-2</v>
      </c>
      <c r="H27" s="25">
        <v>4.7631604996927354E-2</v>
      </c>
      <c r="I27" s="25">
        <v>5.4758488490986856E-2</v>
      </c>
      <c r="J27" s="25">
        <v>6.1929461932803451E-2</v>
      </c>
      <c r="K27" s="25">
        <v>6.9145855750578106E-2</v>
      </c>
      <c r="L27" s="25">
        <v>7.6404026918423087E-2</v>
      </c>
      <c r="M27" s="25">
        <v>8.3709611808645223E-2</v>
      </c>
      <c r="N27" s="25">
        <v>9.1053273449481956E-2</v>
      </c>
      <c r="O27" s="25">
        <v>9.8426969882907583E-2</v>
      </c>
      <c r="P27" s="25">
        <v>0.10594036552155008</v>
      </c>
    </row>
    <row r="28" spans="1:17" x14ac:dyDescent="0.35">
      <c r="A28" s="8">
        <f t="shared" si="0"/>
        <v>44</v>
      </c>
      <c r="B28" s="25">
        <v>6.815214426152889E-3</v>
      </c>
      <c r="C28" s="25">
        <v>1.3807571784895096E-2</v>
      </c>
      <c r="D28" s="25">
        <v>2.0946417625203832E-2</v>
      </c>
      <c r="E28" s="25">
        <v>2.8192102038264461E-2</v>
      </c>
      <c r="F28" s="26">
        <v>3.5512591264986015E-2</v>
      </c>
      <c r="G28" s="25">
        <v>4.2886872159459549E-2</v>
      </c>
      <c r="H28" s="25">
        <v>5.0296547917788578E-2</v>
      </c>
      <c r="I28" s="25">
        <v>5.7752063097704052E-2</v>
      </c>
      <c r="J28" s="25">
        <v>6.5254800918336367E-2</v>
      </c>
      <c r="K28" s="25">
        <v>7.2800973799794555E-2</v>
      </c>
      <c r="L28" s="25">
        <v>8.0396441763682935E-2</v>
      </c>
      <c r="M28" s="25">
        <v>8.8031497350438997E-2</v>
      </c>
      <c r="N28" s="25">
        <v>9.5697779499932911E-2</v>
      </c>
      <c r="O28" s="25">
        <v>0.10350930407063604</v>
      </c>
      <c r="P28" s="25">
        <v>0.11150406995752693</v>
      </c>
    </row>
    <row r="29" spans="1:17" x14ac:dyDescent="0.35">
      <c r="A29" s="8">
        <f t="shared" si="0"/>
        <v>45</v>
      </c>
      <c r="B29" s="25">
        <v>7.2725514615978306E-3</v>
      </c>
      <c r="C29" s="25">
        <v>1.4697461414912611E-2</v>
      </c>
      <c r="D29" s="25">
        <v>2.2233491120631124E-2</v>
      </c>
      <c r="E29" s="25">
        <v>2.9847323179549471E-2</v>
      </c>
      <c r="F29" s="26">
        <v>3.7517102417918287E-2</v>
      </c>
      <c r="G29" s="25">
        <v>4.5223694844695378E-2</v>
      </c>
      <c r="H29" s="25">
        <v>5.2977963546490169E-2</v>
      </c>
      <c r="I29" s="25">
        <v>6.0781347170069708E-2</v>
      </c>
      <c r="J29" s="25">
        <v>6.8629906361614021E-2</v>
      </c>
      <c r="K29" s="25">
        <v>7.6529735962461584E-2</v>
      </c>
      <c r="L29" s="25">
        <v>8.4470739520785376E-2</v>
      </c>
      <c r="M29" s="25">
        <v>9.2444220936408028E-2</v>
      </c>
      <c r="N29" s="25">
        <v>0.10056876485190856</v>
      </c>
      <c r="O29" s="25">
        <v>0.10888389283419743</v>
      </c>
      <c r="P29" s="25">
        <v>0.1174915659422604</v>
      </c>
    </row>
    <row r="30" spans="1:17" x14ac:dyDescent="0.35">
      <c r="A30" s="8">
        <f t="shared" si="0"/>
        <v>46</v>
      </c>
      <c r="B30" s="25">
        <v>7.7255073396600158E-3</v>
      </c>
      <c r="C30" s="25">
        <v>1.5566633113506288E-2</v>
      </c>
      <c r="D30" s="25">
        <v>2.3488711067845985E-2</v>
      </c>
      <c r="E30" s="25">
        <v>3.1469001222494582E-2</v>
      </c>
      <c r="F30" s="26">
        <v>3.9487594947022489E-2</v>
      </c>
      <c r="G30" s="25">
        <v>4.7555795119964279E-2</v>
      </c>
      <c r="H30" s="25">
        <v>5.5675098631683344E-2</v>
      </c>
      <c r="I30" s="25">
        <v>6.3841406643669676E-2</v>
      </c>
      <c r="J30" s="25">
        <v>7.2061060746836936E-2</v>
      </c>
      <c r="K30" s="25">
        <v>8.0323555734632512E-2</v>
      </c>
      <c r="L30" s="25">
        <v>8.8619843445372382E-2</v>
      </c>
      <c r="M30" s="25">
        <v>9.7073309419403217E-2</v>
      </c>
      <c r="N30" s="25">
        <v>0.10572507525377624</v>
      </c>
      <c r="O30" s="25">
        <v>0.11468122989967156</v>
      </c>
      <c r="P30" s="25">
        <v>0.12390525211560842</v>
      </c>
    </row>
    <row r="31" spans="1:17" x14ac:dyDescent="0.35">
      <c r="A31" s="8">
        <f t="shared" si="0"/>
        <v>47</v>
      </c>
      <c r="B31" s="25">
        <v>8.1617875035729127E-3</v>
      </c>
      <c r="C31" s="25">
        <v>1.6407837715613278E-2</v>
      </c>
      <c r="D31" s="25">
        <v>2.4714480707662526E-2</v>
      </c>
      <c r="E31" s="25">
        <v>3.3060993688664879E-2</v>
      </c>
      <c r="F31" s="26">
        <v>4.1459141766774281E-2</v>
      </c>
      <c r="G31" s="25">
        <v>4.9910483047473843E-2</v>
      </c>
      <c r="H31" s="25">
        <v>5.841075107083233E-2</v>
      </c>
      <c r="I31" s="25">
        <v>6.6966546766227014E-2</v>
      </c>
      <c r="J31" s="25">
        <v>7.5566935318168896E-2</v>
      </c>
      <c r="K31" s="25">
        <v>8.4202498541681312E-2</v>
      </c>
      <c r="L31" s="25">
        <v>9.3001667811335773E-2</v>
      </c>
      <c r="M31" s="25">
        <v>0.10200724638608002</v>
      </c>
      <c r="N31" s="25">
        <v>0.11132966170975087</v>
      </c>
      <c r="O31" s="25">
        <v>0.12093089900986159</v>
      </c>
      <c r="P31" s="25">
        <v>0.13089274311139001</v>
      </c>
    </row>
    <row r="32" spans="1:17" x14ac:dyDescent="0.35">
      <c r="A32" s="8">
        <f t="shared" si="0"/>
        <v>48</v>
      </c>
      <c r="B32" s="25">
        <v>8.5865291767751647E-3</v>
      </c>
      <c r="C32" s="25">
        <v>1.7236153006150005E-2</v>
      </c>
      <c r="D32" s="25">
        <v>2.5927293054153217E-2</v>
      </c>
      <c r="E32" s="25">
        <v>3.4672200209614479E-2</v>
      </c>
      <c r="F32" s="26">
        <v>4.3472496912107549E-2</v>
      </c>
      <c r="G32" s="25">
        <v>5.232374053980271E-2</v>
      </c>
      <c r="H32" s="25">
        <v>6.1232804574092178E-2</v>
      </c>
      <c r="I32" s="25">
        <v>7.0188302701550159E-2</v>
      </c>
      <c r="J32" s="25">
        <v>7.9180427860854607E-2</v>
      </c>
      <c r="K32" s="25">
        <v>8.8342914351047436E-2</v>
      </c>
      <c r="L32" s="25">
        <v>9.7720332775310143E-2</v>
      </c>
      <c r="M32" s="25">
        <v>0.1074276701206292</v>
      </c>
      <c r="N32" s="25">
        <v>0.11742534198662963</v>
      </c>
      <c r="O32" s="25">
        <v>0.1277985100892641</v>
      </c>
      <c r="P32" s="25">
        <v>0.13850255014961435</v>
      </c>
    </row>
    <row r="33" spans="1:16" x14ac:dyDescent="0.35">
      <c r="A33" s="8">
        <f t="shared" si="0"/>
        <v>49</v>
      </c>
      <c r="B33" s="25">
        <v>9.0100957937641994E-3</v>
      </c>
      <c r="C33" s="25">
        <v>1.8063437989246596E-2</v>
      </c>
      <c r="D33" s="25">
        <v>2.7172788029498546E-2</v>
      </c>
      <c r="E33" s="25">
        <v>3.6339835969055094E-2</v>
      </c>
      <c r="F33" s="26">
        <v>4.555995404039119E-2</v>
      </c>
      <c r="G33" s="25">
        <v>5.4840302176355063E-2</v>
      </c>
      <c r="H33" s="25">
        <v>6.4169019540368369E-2</v>
      </c>
      <c r="I33" s="25">
        <v>7.3535890363085513E-2</v>
      </c>
      <c r="J33" s="25">
        <v>8.3080222303319087E-2</v>
      </c>
      <c r="K33" s="25">
        <v>9.2848443438425132E-2</v>
      </c>
      <c r="L33" s="25">
        <v>0.1029603328233339</v>
      </c>
      <c r="M33" s="25">
        <v>0.11337465638285867</v>
      </c>
      <c r="N33" s="25">
        <v>0.12418012493654845</v>
      </c>
      <c r="O33" s="25">
        <v>0.13533025449438102</v>
      </c>
      <c r="P33" s="25">
        <v>0.14677599325797416</v>
      </c>
    </row>
    <row r="34" spans="1:16" x14ac:dyDescent="0.35">
      <c r="A34" s="8">
        <f t="shared" si="0"/>
        <v>50</v>
      </c>
      <c r="B34" s="25">
        <v>9.4341168655183334E-3</v>
      </c>
      <c r="C34" s="25">
        <v>1.8926597210681278E-2</v>
      </c>
      <c r="D34" s="25">
        <v>2.8479202172055695E-2</v>
      </c>
      <c r="E34" s="25">
        <v>3.8087109342765192E-2</v>
      </c>
      <c r="F34" s="26">
        <v>4.7757779795392793E-2</v>
      </c>
      <c r="G34" s="25">
        <v>5.7478853838237171E-2</v>
      </c>
      <c r="H34" s="25">
        <v>6.723968603673984E-2</v>
      </c>
      <c r="I34" s="25">
        <v>7.7185443192853267E-2</v>
      </c>
      <c r="J34" s="25">
        <v>8.7364506103211587E-2</v>
      </c>
      <c r="K34" s="25">
        <v>9.7901691612009234E-2</v>
      </c>
      <c r="L34" s="25">
        <v>0.10875403137940519</v>
      </c>
      <c r="M34" s="25">
        <v>0.12001396731478393</v>
      </c>
      <c r="N34" s="25">
        <v>0.13163306035721339</v>
      </c>
      <c r="O34" s="25">
        <v>0.14356019563790712</v>
      </c>
      <c r="P34" s="25">
        <v>0.15586585192070831</v>
      </c>
    </row>
    <row r="35" spans="1:16" x14ac:dyDescent="0.35">
      <c r="A35" s="8">
        <f t="shared" si="0"/>
        <v>51</v>
      </c>
      <c r="B35" s="25">
        <v>9.8953778282775996E-3</v>
      </c>
      <c r="C35" s="25">
        <v>1.9853432193409532E-2</v>
      </c>
      <c r="D35" s="25">
        <v>2.9869136006969138E-2</v>
      </c>
      <c r="E35" s="25">
        <v>3.9950267018240969E-2</v>
      </c>
      <c r="F35" s="26">
        <v>5.0083940942530339E-2</v>
      </c>
      <c r="G35" s="25">
        <v>6.0259060511971316E-2</v>
      </c>
      <c r="H35" s="25">
        <v>7.0626953967572542E-2</v>
      </c>
      <c r="I35" s="25">
        <v>8.1238055573606305E-2</v>
      </c>
      <c r="J35" s="25">
        <v>9.2222479882615976E-2</v>
      </c>
      <c r="K35" s="25">
        <v>0.10353543481266717</v>
      </c>
      <c r="L35" s="25">
        <v>0.11527328586437355</v>
      </c>
      <c r="M35" s="25">
        <v>0.12738553803620328</v>
      </c>
      <c r="N35" s="25">
        <v>0.1398189069471629</v>
      </c>
      <c r="O35" s="25">
        <v>0.15264686275170514</v>
      </c>
      <c r="P35" s="25">
        <v>0.16580358399518966</v>
      </c>
    </row>
    <row r="36" spans="1:16" x14ac:dyDescent="0.35">
      <c r="A36" s="8">
        <f t="shared" si="0"/>
        <v>52</v>
      </c>
      <c r="B36" s="28">
        <v>1.0384884658482564E-2</v>
      </c>
      <c r="C36" s="28">
        <v>2.0829889783332813E-2</v>
      </c>
      <c r="D36" s="28">
        <v>3.1343126500104103E-2</v>
      </c>
      <c r="E36" s="28">
        <v>4.1911158267324042E-2</v>
      </c>
      <c r="F36" s="28">
        <v>5.2522412156929953E-2</v>
      </c>
      <c r="G36" s="28">
        <v>6.333470276510926E-2</v>
      </c>
      <c r="H36" s="28">
        <v>7.4400626110933413E-2</v>
      </c>
      <c r="I36" s="28">
        <v>8.5855873823611095E-2</v>
      </c>
      <c r="J36" s="28">
        <v>9.7653733906255535E-2</v>
      </c>
      <c r="K36" s="28">
        <v>0.10989470235660241</v>
      </c>
      <c r="L36" s="28">
        <v>0.12252611981495048</v>
      </c>
      <c r="M36" s="28">
        <v>0.13549241798146666</v>
      </c>
      <c r="N36" s="28">
        <v>0.14887021614862075</v>
      </c>
      <c r="O36" s="28">
        <v>0.16259087156859989</v>
      </c>
      <c r="P36" s="28">
        <v>0.17661753236684608</v>
      </c>
    </row>
    <row r="37" spans="1:16" x14ac:dyDescent="0.35">
      <c r="A37" s="8">
        <f t="shared" si="0"/>
        <v>53</v>
      </c>
      <c r="B37" s="25">
        <v>1.089735539066018E-2</v>
      </c>
      <c r="C37" s="25">
        <v>2.1865897333853978E-2</v>
      </c>
      <c r="D37" s="25">
        <v>3.2891607380964499E-2</v>
      </c>
      <c r="E37" s="25">
        <v>4.396241140579437E-2</v>
      </c>
      <c r="F37" s="26">
        <v>5.5242958608600699E-2</v>
      </c>
      <c r="G37" s="25">
        <v>6.6788122826696592E-2</v>
      </c>
      <c r="H37" s="25">
        <v>7.8739472196176719E-2</v>
      </c>
      <c r="I37" s="25">
        <v>9.1048271726009711E-2</v>
      </c>
      <c r="J37" s="25">
        <v>0.10381936967520303</v>
      </c>
      <c r="K37" s="25">
        <v>0.11699782612267001</v>
      </c>
      <c r="L37" s="25">
        <v>0.13052566622737441</v>
      </c>
      <c r="M37" s="25">
        <v>0.14448282749531502</v>
      </c>
      <c r="N37" s="25">
        <v>0.15879769441180622</v>
      </c>
      <c r="O37" s="25">
        <v>0.17343181912842015</v>
      </c>
      <c r="P37" s="25">
        <v>0.1882044422925635</v>
      </c>
    </row>
    <row r="38" spans="1:16" x14ac:dyDescent="0.35">
      <c r="A38" s="8">
        <f t="shared" si="0"/>
        <v>54</v>
      </c>
      <c r="B38" s="25">
        <v>1.1448679734379541E-2</v>
      </c>
      <c r="C38" s="25">
        <v>2.2957030053614751E-2</v>
      </c>
      <c r="D38" s="25">
        <v>3.4512448297787643E-2</v>
      </c>
      <c r="E38" s="25">
        <v>4.6286791033799082E-2</v>
      </c>
      <c r="F38" s="26">
        <v>5.8337334150499895E-2</v>
      </c>
      <c r="G38" s="25">
        <v>7.0811842798366345E-2</v>
      </c>
      <c r="H38" s="25">
        <v>8.3659448657154425E-2</v>
      </c>
      <c r="I38" s="25">
        <v>9.6989589621554295E-2</v>
      </c>
      <c r="J38" s="25">
        <v>0.11074492082618541</v>
      </c>
      <c r="K38" s="25">
        <v>0.12486492963490037</v>
      </c>
      <c r="L38" s="25">
        <v>0.13943305274417947</v>
      </c>
      <c r="M38" s="25">
        <v>0.1543745397363378</v>
      </c>
      <c r="N38" s="25">
        <v>0.16964925974389938</v>
      </c>
      <c r="O38" s="25">
        <v>0.18506854084059068</v>
      </c>
      <c r="P38" s="25">
        <v>0.20061599628104054</v>
      </c>
    </row>
    <row r="39" spans="1:16" x14ac:dyDescent="0.35">
      <c r="A39" s="8">
        <f t="shared" si="0"/>
        <v>55</v>
      </c>
      <c r="B39" s="25">
        <v>1.2017895900728924E-2</v>
      </c>
      <c r="C39" s="25">
        <v>2.4084943713458561E-2</v>
      </c>
      <c r="D39" s="25">
        <v>3.638060915426284E-2</v>
      </c>
      <c r="E39" s="25">
        <v>4.8964704068518113E-2</v>
      </c>
      <c r="F39" s="26">
        <v>6.1991536080420621E-2</v>
      </c>
      <c r="G39" s="25">
        <v>7.5407984615745632E-2</v>
      </c>
      <c r="H39" s="25">
        <v>8.9328333059122342E-2</v>
      </c>
      <c r="I39" s="25">
        <v>0.10369269753462873</v>
      </c>
      <c r="J39" s="25">
        <v>0.11843788613884466</v>
      </c>
      <c r="K39" s="25">
        <v>0.13365102982492899</v>
      </c>
      <c r="L39" s="25">
        <v>0.14925406851360415</v>
      </c>
      <c r="M39" s="25">
        <v>0.16520509449661017</v>
      </c>
      <c r="N39" s="25">
        <v>0.18130708217892708</v>
      </c>
      <c r="O39" s="25">
        <v>0.19754291927299331</v>
      </c>
      <c r="P39" s="25">
        <v>0.21388777941819573</v>
      </c>
    </row>
    <row r="40" spans="1:16" x14ac:dyDescent="0.35">
      <c r="A40" s="8">
        <f t="shared" si="0"/>
        <v>56</v>
      </c>
      <c r="B40" s="25">
        <v>1.2607591804165087E-2</v>
      </c>
      <c r="C40" s="25">
        <v>2.5454042174131244E-2</v>
      </c>
      <c r="D40" s="25">
        <v>3.8601842229786423E-2</v>
      </c>
      <c r="E40" s="25">
        <v>5.2212211812829132E-2</v>
      </c>
      <c r="F40" s="26">
        <v>6.6229650810338478E-2</v>
      </c>
      <c r="G40" s="25">
        <v>8.0773561936695312E-2</v>
      </c>
      <c r="H40" s="25">
        <v>9.578137881485424E-2</v>
      </c>
      <c r="I40" s="25">
        <v>0.11118707885701969</v>
      </c>
      <c r="J40" s="25">
        <v>0.12708169605161881</v>
      </c>
      <c r="K40" s="25">
        <v>0.14338367361434079</v>
      </c>
      <c r="L40" s="25">
        <v>0.16004922657910359</v>
      </c>
      <c r="M40" s="25">
        <v>0.17687250357981224</v>
      </c>
      <c r="N40" s="25">
        <v>0.19383562578315469</v>
      </c>
      <c r="O40" s="25">
        <v>0.21091265473049126</v>
      </c>
      <c r="P40" s="25">
        <v>0.22808585535863271</v>
      </c>
    </row>
    <row r="41" spans="1:16" x14ac:dyDescent="0.35">
      <c r="A41" s="8">
        <f t="shared" si="0"/>
        <v>57</v>
      </c>
      <c r="B41" s="25">
        <v>1.3428820406846634E-2</v>
      </c>
      <c r="C41" s="25">
        <v>2.7172651629306467E-2</v>
      </c>
      <c r="D41" s="25">
        <v>4.1400022112034619E-2</v>
      </c>
      <c r="E41" s="25">
        <v>5.6052915747272877E-2</v>
      </c>
      <c r="F41" s="26">
        <v>7.1256148150333889E-2</v>
      </c>
      <c r="G41" s="25">
        <v>8.6944316613337014E-2</v>
      </c>
      <c r="H41" s="25">
        <v>0.10304840553673775</v>
      </c>
      <c r="I41" s="25">
        <v>0.11966357576624066</v>
      </c>
      <c r="J41" s="25">
        <v>0.13670457329175506</v>
      </c>
      <c r="K41" s="25">
        <v>0.15412562823684803</v>
      </c>
      <c r="L41" s="25">
        <v>0.1717115573449636</v>
      </c>
      <c r="M41" s="25">
        <v>0.18944367127899175</v>
      </c>
      <c r="N41" s="25">
        <v>0.2072948557083065</v>
      </c>
      <c r="O41" s="25">
        <v>0.22524657158347278</v>
      </c>
      <c r="P41" s="25">
        <v>0.24327005053871123</v>
      </c>
    </row>
    <row r="42" spans="1:16" x14ac:dyDescent="0.35">
      <c r="A42" s="8">
        <f t="shared" si="0"/>
        <v>58</v>
      </c>
      <c r="B42" s="25">
        <v>1.437719432941067E-2</v>
      </c>
      <c r="C42" s="25">
        <v>2.9260211074583879E-2</v>
      </c>
      <c r="D42" s="25">
        <v>4.4588360545579818E-2</v>
      </c>
      <c r="E42" s="25">
        <v>6.0492210291406411E-2</v>
      </c>
      <c r="F42" s="26">
        <v>7.6903343622011969E-2</v>
      </c>
      <c r="G42" s="25">
        <v>9.3749564461182266E-2</v>
      </c>
      <c r="H42" s="25">
        <v>0.11113041899433684</v>
      </c>
      <c r="I42" s="25">
        <v>0.12895672441279624</v>
      </c>
      <c r="J42" s="25">
        <v>0.14718060160648858</v>
      </c>
      <c r="K42" s="25">
        <v>0.16557695093282768</v>
      </c>
      <c r="L42" s="25">
        <v>0.18412622178564197</v>
      </c>
      <c r="M42" s="25">
        <v>0.20280005031250839</v>
      </c>
      <c r="N42" s="25">
        <v>0.22157904312070434</v>
      </c>
      <c r="O42" s="25">
        <v>0.24043310609901336</v>
      </c>
      <c r="P42" s="25">
        <v>0.25931015801681989</v>
      </c>
    </row>
    <row r="43" spans="1:16" x14ac:dyDescent="0.35">
      <c r="A43" s="8">
        <f t="shared" si="0"/>
        <v>59</v>
      </c>
      <c r="B43" s="25">
        <v>1.5581792973364643E-2</v>
      </c>
      <c r="C43" s="25">
        <v>3.1629618210093413E-2</v>
      </c>
      <c r="D43" s="25">
        <v>4.8280173568726374E-2</v>
      </c>
      <c r="E43" s="25">
        <v>6.5461830110147126E-2</v>
      </c>
      <c r="F43" s="26">
        <v>8.3099002062175187E-2</v>
      </c>
      <c r="G43" s="25">
        <v>0.10129590942798955</v>
      </c>
      <c r="H43" s="25">
        <v>0.11995918215463527</v>
      </c>
      <c r="I43" s="25">
        <v>0.13903869314801154</v>
      </c>
      <c r="J43" s="25">
        <v>0.15829877405611614</v>
      </c>
      <c r="K43" s="25">
        <v>0.17771895634739504</v>
      </c>
      <c r="L43" s="25">
        <v>0.19726954445112138</v>
      </c>
      <c r="M43" s="25">
        <v>0.21693023443055792</v>
      </c>
      <c r="N43" s="25">
        <v>0.23666951921837265</v>
      </c>
      <c r="O43" s="25">
        <v>0.2564328723051123</v>
      </c>
      <c r="P43" s="25">
        <v>0.2761668323591176</v>
      </c>
    </row>
    <row r="44" spans="1:16" x14ac:dyDescent="0.35">
      <c r="A44" s="8">
        <f t="shared" si="0"/>
        <v>60</v>
      </c>
      <c r="B44" s="25">
        <v>1.6819012897067945E-2</v>
      </c>
      <c r="C44" s="25">
        <v>3.4269720465794982E-2</v>
      </c>
      <c r="D44" s="25">
        <v>5.2277051596355921E-2</v>
      </c>
      <c r="E44" s="25">
        <v>7.0761788197926292E-2</v>
      </c>
      <c r="F44" s="26">
        <v>8.983315862710535E-2</v>
      </c>
      <c r="G44" s="25">
        <v>0.10939330587824379</v>
      </c>
      <c r="H44" s="25">
        <v>0.12938969397031388</v>
      </c>
      <c r="I44" s="25">
        <v>0.14957532937034243</v>
      </c>
      <c r="J44" s="25">
        <v>0.16992875991947839</v>
      </c>
      <c r="K44" s="25">
        <v>0.19041886300891508</v>
      </c>
      <c r="L44" s="25">
        <v>0.21102435898431882</v>
      </c>
      <c r="M44" s="25">
        <v>0.2317122266877453</v>
      </c>
      <c r="N44" s="25">
        <v>0.25242531930632739</v>
      </c>
      <c r="O44" s="25">
        <v>0.27310760639273601</v>
      </c>
      <c r="P44" s="25">
        <v>0.29371401973019146</v>
      </c>
    </row>
    <row r="45" spans="1:16" x14ac:dyDescent="0.35">
      <c r="A45" s="8">
        <f t="shared" si="0"/>
        <v>61</v>
      </c>
      <c r="B45" s="25">
        <v>1.8309147288489286E-2</v>
      </c>
      <c r="C45" s="25">
        <v>3.7202299709018269E-2</v>
      </c>
      <c r="D45" s="25">
        <v>5.659634225395152E-2</v>
      </c>
      <c r="E45" s="25">
        <v>7.6605876469454381E-2</v>
      </c>
      <c r="F45" s="26">
        <v>9.7128231542748245E-2</v>
      </c>
      <c r="G45" s="25">
        <v>0.11810828712923994</v>
      </c>
      <c r="H45" s="25">
        <v>0.13928689952620565</v>
      </c>
      <c r="I45" s="25">
        <v>0.16064156129464829</v>
      </c>
      <c r="J45" s="25">
        <v>0.18213961883433991</v>
      </c>
      <c r="K45" s="25">
        <v>0.20375874569668759</v>
      </c>
      <c r="L45" s="25">
        <v>0.22546429633840553</v>
      </c>
      <c r="M45" s="25">
        <v>0.24719631276582907</v>
      </c>
      <c r="N45" s="25">
        <v>0.26889600826737364</v>
      </c>
      <c r="O45" s="25">
        <v>0.29051609761888425</v>
      </c>
      <c r="P45" s="25">
        <v>0.31202493665085557</v>
      </c>
    </row>
    <row r="46" spans="1:16" x14ac:dyDescent="0.35">
      <c r="A46" s="8">
        <f t="shared" si="0"/>
        <v>62</v>
      </c>
      <c r="B46" s="25">
        <v>1.9848476509810233E-2</v>
      </c>
      <c r="C46" s="25">
        <v>4.0223170436753636E-2</v>
      </c>
      <c r="D46" s="25">
        <v>6.1244478104663345E-2</v>
      </c>
      <c r="E46" s="25">
        <v>8.2804537195471928E-2</v>
      </c>
      <c r="F46" s="26">
        <v>0.10484544022817685</v>
      </c>
      <c r="G46" s="25">
        <v>0.12709494001069013</v>
      </c>
      <c r="H46" s="25">
        <v>0.14952939102508619</v>
      </c>
      <c r="I46" s="25">
        <v>0.17211448855594977</v>
      </c>
      <c r="J46" s="25">
        <v>0.19482677722746097</v>
      </c>
      <c r="K46" s="25">
        <v>0.21762985965940662</v>
      </c>
      <c r="L46" s="25">
        <v>0.24046074610807733</v>
      </c>
      <c r="M46" s="25">
        <v>0.2632576773372165</v>
      </c>
      <c r="N46" s="25">
        <v>0.28597097716573933</v>
      </c>
      <c r="O46" s="25">
        <v>0.30856740135038152</v>
      </c>
      <c r="P46" s="25">
        <v>0.33101739733773872</v>
      </c>
    </row>
    <row r="47" spans="1:16" x14ac:dyDescent="0.35">
      <c r="A47" s="8">
        <f t="shared" si="0"/>
        <v>63</v>
      </c>
      <c r="B47" s="25">
        <v>2.1433891888631946E-2</v>
      </c>
      <c r="C47" s="25">
        <v>4.3548012352341924E-2</v>
      </c>
      <c r="D47" s="25">
        <v>6.6228891747237131E-2</v>
      </c>
      <c r="E47" s="25">
        <v>8.9415612216499643E-2</v>
      </c>
      <c r="F47" s="26">
        <v>0.11282177353722937</v>
      </c>
      <c r="G47" s="25">
        <v>0.13642250095662342</v>
      </c>
      <c r="H47" s="25">
        <v>0.16018170639580717</v>
      </c>
      <c r="I47" s="25">
        <v>0.1840747151288028</v>
      </c>
      <c r="J47" s="25">
        <v>0.20806323762275555</v>
      </c>
      <c r="K47" s="25">
        <v>0.2320810095518504</v>
      </c>
      <c r="L47" s="25">
        <v>0.2560630610668323</v>
      </c>
      <c r="M47" s="25">
        <v>0.27995713352280438</v>
      </c>
      <c r="N47" s="25">
        <v>0.30372825444270274</v>
      </c>
      <c r="O47" s="25">
        <v>0.32734533495535334</v>
      </c>
      <c r="P47" s="25">
        <v>0.35075611690333464</v>
      </c>
    </row>
    <row r="48" spans="1:16" x14ac:dyDescent="0.35">
      <c r="A48" s="8">
        <f t="shared" si="0"/>
        <v>64</v>
      </c>
      <c r="B48" s="25">
        <v>2.3296207053333316E-2</v>
      </c>
      <c r="C48" s="25">
        <v>4.718946852860869E-2</v>
      </c>
      <c r="D48" s="25">
        <v>7.1615610270312893E-2</v>
      </c>
      <c r="E48" s="25">
        <v>9.6272922838825672E-2</v>
      </c>
      <c r="F48" s="26">
        <v>0.12113520182811388</v>
      </c>
      <c r="G48" s="25">
        <v>0.14616443010975497</v>
      </c>
      <c r="H48" s="25">
        <v>0.17133461399676028</v>
      </c>
      <c r="I48" s="25">
        <v>0.19660541723036595</v>
      </c>
      <c r="J48" s="25">
        <v>0.22190703339629606</v>
      </c>
      <c r="K48" s="25">
        <v>0.24717101975169081</v>
      </c>
      <c r="L48" s="25">
        <v>0.27234232422184335</v>
      </c>
      <c r="M48" s="25">
        <v>0.29738410491343997</v>
      </c>
      <c r="N48" s="25">
        <v>0.3222636111330443</v>
      </c>
      <c r="O48" s="25">
        <v>0.34692579131948231</v>
      </c>
      <c r="P48" s="25">
        <v>0.3713366636842782</v>
      </c>
    </row>
    <row r="49" spans="1:16" ht="15" thickBot="1" x14ac:dyDescent="0.4">
      <c r="A49" s="8">
        <f t="shared" si="0"/>
        <v>65</v>
      </c>
      <c r="B49" s="29">
        <v>2.5211775905648048E-2</v>
      </c>
      <c r="C49" s="29">
        <v>5.0985838290086266E-2</v>
      </c>
      <c r="D49" s="29">
        <v>7.7003828322805251E-2</v>
      </c>
      <c r="E49" s="29">
        <v>0.10323809554623428</v>
      </c>
      <c r="F49" s="30">
        <v>0.1296485249127329</v>
      </c>
      <c r="G49" s="29">
        <v>0.15620768831199491</v>
      </c>
      <c r="H49" s="29">
        <v>0.18287302358824772</v>
      </c>
      <c r="I49" s="29">
        <v>0.20957087216309575</v>
      </c>
      <c r="J49" s="29">
        <v>0.23622901438175747</v>
      </c>
      <c r="K49" s="29">
        <v>0.26278936020189664</v>
      </c>
      <c r="L49" s="29">
        <v>0.28921303466459963</v>
      </c>
      <c r="M49" s="29">
        <v>0.31546547977766726</v>
      </c>
      <c r="N49" s="29">
        <v>0.3414886060406348</v>
      </c>
      <c r="O49" s="29">
        <v>0.36724655643009779</v>
      </c>
      <c r="P49" s="29">
        <v>0.39275065682762228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04F9-2445-46C4-B39F-7CAE19C256D5}">
  <sheetPr codeName="Feuil3"/>
  <dimension ref="A1:T52"/>
  <sheetViews>
    <sheetView workbookViewId="0">
      <selection activeCell="F7" sqref="F7"/>
    </sheetView>
  </sheetViews>
  <sheetFormatPr baseColWidth="10" defaultRowHeight="14.5" x14ac:dyDescent="0.35"/>
  <cols>
    <col min="1" max="1" width="16.54296875" customWidth="1"/>
    <col min="2" max="7" width="11" bestFit="1" customWidth="1"/>
    <col min="8" max="16" width="11.7265625" bestFit="1" customWidth="1"/>
    <col min="18" max="18" width="12.453125" bestFit="1" customWidth="1"/>
    <col min="19" max="19" width="19.36328125" bestFit="1" customWidth="1"/>
    <col min="20" max="20" width="18.36328125" bestFit="1" customWidth="1"/>
  </cols>
  <sheetData>
    <row r="1" spans="1:19" x14ac:dyDescent="0.35">
      <c r="A1" t="s">
        <v>1</v>
      </c>
      <c r="B1" s="8">
        <v>12</v>
      </c>
      <c r="C1" s="8">
        <f>B1+12</f>
        <v>24</v>
      </c>
      <c r="D1" s="8">
        <f t="shared" ref="D1:P1" si="0">C1+12</f>
        <v>36</v>
      </c>
      <c r="E1" s="8">
        <f t="shared" si="0"/>
        <v>48</v>
      </c>
      <c r="F1" s="8">
        <f t="shared" si="0"/>
        <v>60</v>
      </c>
      <c r="G1" s="8">
        <f t="shared" si="0"/>
        <v>72</v>
      </c>
      <c r="H1" s="9">
        <f t="shared" si="0"/>
        <v>84</v>
      </c>
      <c r="I1" s="9">
        <f t="shared" si="0"/>
        <v>96</v>
      </c>
      <c r="J1" s="9">
        <f t="shared" si="0"/>
        <v>108</v>
      </c>
      <c r="K1" s="8">
        <f t="shared" si="0"/>
        <v>120</v>
      </c>
      <c r="L1" s="8">
        <f t="shared" si="0"/>
        <v>132</v>
      </c>
      <c r="M1" s="8">
        <f t="shared" si="0"/>
        <v>144</v>
      </c>
      <c r="N1" s="8">
        <f t="shared" si="0"/>
        <v>156</v>
      </c>
      <c r="O1" s="8">
        <f t="shared" si="0"/>
        <v>168</v>
      </c>
      <c r="P1" s="8">
        <f t="shared" si="0"/>
        <v>180</v>
      </c>
    </row>
    <row r="2" spans="1:19" x14ac:dyDescent="0.35">
      <c r="A2" s="8">
        <v>18</v>
      </c>
      <c r="B2" s="20">
        <v>1.4979183715315091E-3</v>
      </c>
      <c r="C2" s="20">
        <v>2.9513244751363556E-3</v>
      </c>
      <c r="D2" s="20">
        <v>4.4644389793611636E-3</v>
      </c>
      <c r="E2" s="20">
        <v>6.0215006451710788E-3</v>
      </c>
      <c r="F2" s="20">
        <v>7.6109138488765502E-3</v>
      </c>
      <c r="G2" s="20">
        <v>9.2246368118798286E-3</v>
      </c>
      <c r="H2" s="20">
        <v>1.0858178963015911E-2</v>
      </c>
      <c r="I2" s="20">
        <v>1.2508821150646349E-2</v>
      </c>
      <c r="J2" s="20">
        <v>1.417524896144212E-2</v>
      </c>
      <c r="K2" s="20">
        <v>1.5856795978461305E-2</v>
      </c>
      <c r="L2" s="20">
        <v>1.7552268616692412E-2</v>
      </c>
      <c r="M2" s="20">
        <v>1.9260384166323797E-2</v>
      </c>
      <c r="N2" s="20">
        <v>2.0979574325614765E-2</v>
      </c>
      <c r="O2" s="20">
        <v>2.2707642027100575E-2</v>
      </c>
      <c r="P2" s="20">
        <v>2.4443581678731573E-2</v>
      </c>
    </row>
    <row r="3" spans="1:19" x14ac:dyDescent="0.35">
      <c r="A3" s="8">
        <f>A2+1</f>
        <v>19</v>
      </c>
      <c r="B3" s="20">
        <v>1.5946887501053812E-3</v>
      </c>
      <c r="C3" s="20">
        <v>3.1185342773010888E-3</v>
      </c>
      <c r="D3" s="20">
        <v>4.6833072279723401E-3</v>
      </c>
      <c r="E3" s="20">
        <v>6.278671555472938E-3</v>
      </c>
      <c r="F3" s="20">
        <v>7.8976395901200463E-3</v>
      </c>
      <c r="G3" s="20">
        <v>9.5366852525951042E-3</v>
      </c>
      <c r="H3" s="20">
        <v>1.1193760160726103E-2</v>
      </c>
      <c r="I3" s="20">
        <v>1.2868052787434182E-2</v>
      </c>
      <c r="J3" s="20">
        <v>1.4559239061994555E-2</v>
      </c>
      <c r="K3" s="20">
        <v>1.62662746157924E-2</v>
      </c>
      <c r="L3" s="20">
        <v>1.7987953374506989E-2</v>
      </c>
      <c r="M3" s="20">
        <v>1.9722722366019879E-2</v>
      </c>
      <c r="N3" s="20">
        <v>2.1468333560093297E-2</v>
      </c>
      <c r="O3" s="20">
        <v>2.3223805740954871E-2</v>
      </c>
      <c r="P3" s="20">
        <v>2.4990308028131722E-2</v>
      </c>
    </row>
    <row r="4" spans="1:19" x14ac:dyDescent="0.35">
      <c r="A4" s="8">
        <f t="shared" ref="A4:A49" si="1">A3+1</f>
        <v>20</v>
      </c>
      <c r="B4" s="20">
        <v>1.6517538085338238E-3</v>
      </c>
      <c r="C4" s="20">
        <v>3.2176365285665532E-3</v>
      </c>
      <c r="D4" s="20">
        <v>4.8131311103078557E-3</v>
      </c>
      <c r="E4" s="20">
        <v>6.4322188576925619E-3</v>
      </c>
      <c r="F4" s="20">
        <v>8.0722977811580783E-3</v>
      </c>
      <c r="G4" s="20">
        <v>9.7318889289485459E-3</v>
      </c>
      <c r="H4" s="20">
        <v>1.1410600213221959E-2</v>
      </c>
      <c r="I4" s="20">
        <v>1.3108374803499225E-2</v>
      </c>
      <c r="J4" s="20">
        <v>1.4824239332101948E-2</v>
      </c>
      <c r="K4" s="20">
        <v>1.655700825561611E-2</v>
      </c>
      <c r="L4" s="20">
        <v>1.830510180035164E-2</v>
      </c>
      <c r="M4" s="20">
        <v>2.0066186164756143E-2</v>
      </c>
      <c r="N4" s="20">
        <v>2.1839294435176643E-2</v>
      </c>
      <c r="O4" s="20">
        <v>2.3625733824156982E-2</v>
      </c>
      <c r="P4" s="20">
        <v>2.5428772117077173E-2</v>
      </c>
    </row>
    <row r="5" spans="1:19" x14ac:dyDescent="0.35">
      <c r="A5" s="8">
        <f t="shared" si="1"/>
        <v>21</v>
      </c>
      <c r="B5" s="20">
        <v>1.6863970157450097E-3</v>
      </c>
      <c r="C5" s="20">
        <v>3.2772124802539814E-3</v>
      </c>
      <c r="D5" s="20">
        <v>4.8921998623863618E-3</v>
      </c>
      <c r="E5" s="20">
        <v>6.5296745142838994E-3</v>
      </c>
      <c r="F5" s="20">
        <v>8.1885959841298053E-3</v>
      </c>
      <c r="G5" s="20">
        <v>9.8689075580934548E-3</v>
      </c>
      <c r="H5" s="20">
        <v>1.1570748215880751E-2</v>
      </c>
      <c r="I5" s="20">
        <v>1.3293138517866641E-2</v>
      </c>
      <c r="J5" s="20">
        <v>1.503486583662964E-2</v>
      </c>
      <c r="K5" s="20">
        <v>1.6794291267112522E-2</v>
      </c>
      <c r="L5" s="20">
        <v>1.8568969216512958E-2</v>
      </c>
      <c r="M5" s="20">
        <v>2.0357949464321755E-2</v>
      </c>
      <c r="N5" s="20">
        <v>2.2162699422468738E-2</v>
      </c>
      <c r="O5" s="20">
        <v>2.3986722103737809E-2</v>
      </c>
      <c r="P5" s="20">
        <v>2.5833365527996106E-2</v>
      </c>
    </row>
    <row r="6" spans="1:19" x14ac:dyDescent="0.35">
      <c r="A6" s="8">
        <f t="shared" si="1"/>
        <v>22</v>
      </c>
      <c r="B6" s="20">
        <v>1.7062739669317024E-3</v>
      </c>
      <c r="C6" s="20">
        <v>3.3137623448965853E-3</v>
      </c>
      <c r="D6" s="20">
        <v>4.9457881875116698E-3</v>
      </c>
      <c r="E6" s="20">
        <v>6.601525467306575E-3</v>
      </c>
      <c r="F6" s="20">
        <v>8.2811784278758929E-3</v>
      </c>
      <c r="G6" s="20">
        <v>9.9850202319801545E-3</v>
      </c>
      <c r="H6" s="20">
        <v>1.1711990450837506E-2</v>
      </c>
      <c r="I6" s="20">
        <v>1.3460814307443699E-2</v>
      </c>
      <c r="J6" s="20">
        <v>1.5229773971926009E-2</v>
      </c>
      <c r="K6" s="20">
        <v>1.7016295966426394E-2</v>
      </c>
      <c r="L6" s="20">
        <v>1.88194636711707E-2</v>
      </c>
      <c r="M6" s="20">
        <v>2.0640941783785803E-2</v>
      </c>
      <c r="N6" s="20">
        <v>2.2484506831213044E-2</v>
      </c>
      <c r="O6" s="20">
        <v>2.4353686888188258E-2</v>
      </c>
      <c r="P6" s="20">
        <v>2.6251503510251895E-2</v>
      </c>
    </row>
    <row r="7" spans="1:19" x14ac:dyDescent="0.35">
      <c r="A7" s="8">
        <f t="shared" si="1"/>
        <v>23</v>
      </c>
      <c r="B7" s="20">
        <v>1.7223451539613052E-3</v>
      </c>
      <c r="C7" s="20">
        <v>3.346898006910206E-3</v>
      </c>
      <c r="D7" s="20">
        <v>4.9975106785295244E-3</v>
      </c>
      <c r="E7" s="20">
        <v>6.6746861334089254E-3</v>
      </c>
      <c r="F7" s="20">
        <v>8.3788003202823653E-3</v>
      </c>
      <c r="G7" s="20">
        <v>1.0108640587409876E-2</v>
      </c>
      <c r="H7" s="20">
        <v>1.1862853946826431E-2</v>
      </c>
      <c r="I7" s="20">
        <v>1.3639639492921072E-2</v>
      </c>
      <c r="J7" s="20">
        <v>1.5436290161184738E-2</v>
      </c>
      <c r="K7" s="20">
        <v>1.7251956432735652E-2</v>
      </c>
      <c r="L7" s="20">
        <v>1.9088553848582802E-2</v>
      </c>
      <c r="M7" s="20">
        <v>2.0950182379310282E-2</v>
      </c>
      <c r="N7" s="20">
        <v>2.2840572848593657E-2</v>
      </c>
      <c r="O7" s="20">
        <v>2.4762856217040018E-2</v>
      </c>
      <c r="P7" s="20">
        <v>2.6719978555223515E-2</v>
      </c>
    </row>
    <row r="8" spans="1:19" x14ac:dyDescent="0.35">
      <c r="A8" s="8">
        <f t="shared" si="1"/>
        <v>24</v>
      </c>
      <c r="B8" s="20">
        <v>1.7424029215953698E-3</v>
      </c>
      <c r="C8" s="20">
        <v>3.3861097608986735E-3</v>
      </c>
      <c r="D8" s="20">
        <v>5.0591635629011755E-3</v>
      </c>
      <c r="E8" s="20">
        <v>6.7619596924099658E-3</v>
      </c>
      <c r="F8" s="20">
        <v>8.4930278126685958E-3</v>
      </c>
      <c r="G8" s="20">
        <v>1.0250937067028992E-2</v>
      </c>
      <c r="H8" s="20">
        <v>1.2033811780545864E-2</v>
      </c>
      <c r="I8" s="20">
        <v>1.3838811639932183E-2</v>
      </c>
      <c r="J8" s="20">
        <v>1.5665204603246136E-2</v>
      </c>
      <c r="K8" s="20">
        <v>1.751522720758222E-2</v>
      </c>
      <c r="L8" s="20">
        <v>1.939336278632697E-2</v>
      </c>
      <c r="M8" s="20">
        <v>2.1303567851204484E-2</v>
      </c>
      <c r="N8" s="20">
        <v>2.3249087250045722E-2</v>
      </c>
      <c r="O8" s="20">
        <v>2.5232937661808643E-2</v>
      </c>
      <c r="P8" s="20">
        <v>2.7258022646724847E-2</v>
      </c>
    </row>
    <row r="9" spans="1:19" x14ac:dyDescent="0.35">
      <c r="A9" s="8">
        <f t="shared" si="1"/>
        <v>25</v>
      </c>
      <c r="B9" s="20">
        <v>1.7632132100164457E-3</v>
      </c>
      <c r="C9" s="20">
        <v>3.4307609955207896E-3</v>
      </c>
      <c r="D9" s="20">
        <v>5.130802957316485E-3</v>
      </c>
      <c r="E9" s="20">
        <v>6.861488852283347E-3</v>
      </c>
      <c r="F9" s="20">
        <v>8.6213704923022369E-3</v>
      </c>
      <c r="G9" s="20">
        <v>1.0408529990442285E-2</v>
      </c>
      <c r="H9" s="20">
        <v>1.2220001397777623E-2</v>
      </c>
      <c r="I9" s="20">
        <v>1.4055243360117469E-2</v>
      </c>
      <c r="J9" s="20">
        <v>1.5916903319208416E-2</v>
      </c>
      <c r="K9" s="20">
        <v>1.7809917132927205E-2</v>
      </c>
      <c r="L9" s="20">
        <v>1.9738486143885726E-2</v>
      </c>
      <c r="M9" s="20">
        <v>2.1705966821915137E-2</v>
      </c>
      <c r="N9" s="20">
        <v>2.3715441165123363E-2</v>
      </c>
      <c r="O9" s="20">
        <v>2.5769856869959158E-2</v>
      </c>
      <c r="P9" s="20">
        <v>2.7873059874124504E-2</v>
      </c>
      <c r="S9" s="11"/>
    </row>
    <row r="10" spans="1:19" x14ac:dyDescent="0.35">
      <c r="A10" s="8">
        <f t="shared" si="1"/>
        <v>26</v>
      </c>
      <c r="B10" s="20">
        <v>1.7926268087716294E-3</v>
      </c>
      <c r="C10" s="20">
        <v>3.4884433114637679E-3</v>
      </c>
      <c r="D10" s="20">
        <v>5.2169569974104537E-3</v>
      </c>
      <c r="E10" s="20">
        <v>6.9768997918865936E-3</v>
      </c>
      <c r="F10" s="20">
        <v>8.7663548057885406E-3</v>
      </c>
      <c r="G10" s="20">
        <v>1.0582229349205352E-2</v>
      </c>
      <c r="H10" s="18">
        <v>1.2424270717342365E-2</v>
      </c>
      <c r="I10" s="20">
        <v>1.4295646239926036E-2</v>
      </c>
      <c r="J10" s="20">
        <v>1.6201817573140227E-2</v>
      </c>
      <c r="K10" s="20">
        <v>1.8147237887159565E-2</v>
      </c>
      <c r="L10" s="20">
        <v>2.013535983416595E-2</v>
      </c>
      <c r="M10" s="20">
        <v>2.2169316298419714E-2</v>
      </c>
      <c r="N10" s="20">
        <v>2.4252088943355038E-2</v>
      </c>
      <c r="O10" s="20">
        <v>2.63876175087078E-2</v>
      </c>
      <c r="P10" s="20">
        <v>2.8580766841623747E-2</v>
      </c>
      <c r="S10" s="11"/>
    </row>
    <row r="11" spans="1:19" x14ac:dyDescent="0.35">
      <c r="A11" s="8">
        <f t="shared" si="1"/>
        <v>27</v>
      </c>
      <c r="B11" s="20">
        <v>1.8235043652232365E-3</v>
      </c>
      <c r="C11" s="20">
        <v>3.5476339988796029E-3</v>
      </c>
      <c r="D11" s="20">
        <v>5.3054799355539339E-3</v>
      </c>
      <c r="E11" s="20">
        <v>7.0950536172583413E-3</v>
      </c>
      <c r="F11" s="20">
        <v>8.9130847541231874E-3</v>
      </c>
      <c r="G11" s="20">
        <v>1.0759740508246185E-2</v>
      </c>
      <c r="H11" s="20">
        <v>1.2638836497416402E-2</v>
      </c>
      <c r="I11" s="18">
        <v>1.4556430223810805E-2</v>
      </c>
      <c r="J11" s="20">
        <v>1.6517210182354473E-2</v>
      </c>
      <c r="K11" s="20">
        <v>1.8524689327085436E-2</v>
      </c>
      <c r="L11" s="20">
        <v>2.0582024667930986E-2</v>
      </c>
      <c r="M11" s="20">
        <v>2.269221491961234E-2</v>
      </c>
      <c r="N11" s="20">
        <v>2.485929354361999E-2</v>
      </c>
      <c r="O11" s="20">
        <v>2.7088269631556802E-2</v>
      </c>
      <c r="P11" s="20">
        <v>2.9385679892780056E-2</v>
      </c>
      <c r="S11" s="11"/>
    </row>
    <row r="12" spans="1:19" x14ac:dyDescent="0.35">
      <c r="A12" s="8">
        <f t="shared" si="1"/>
        <v>28</v>
      </c>
      <c r="B12" s="20">
        <v>1.8532361081814649E-3</v>
      </c>
      <c r="C12" s="20">
        <v>3.6069369820407576E-3</v>
      </c>
      <c r="D12" s="20">
        <v>5.3944666317314767E-3</v>
      </c>
      <c r="E12" s="20">
        <v>7.2123424651123281E-3</v>
      </c>
      <c r="F12" s="20">
        <v>9.0613953705046841E-3</v>
      </c>
      <c r="G12" s="20">
        <v>1.0946254119185338E-2</v>
      </c>
      <c r="H12" s="20">
        <v>1.2873633090378889E-2</v>
      </c>
      <c r="I12" s="20">
        <v>1.4848402965060799E-2</v>
      </c>
      <c r="J12" s="20">
        <v>1.6874074661132971E-2</v>
      </c>
      <c r="K12" s="20">
        <v>1.8953789798500566E-2</v>
      </c>
      <c r="L12" s="20">
        <v>2.1090542190099319E-2</v>
      </c>
      <c r="M12" s="20">
        <v>2.3288460187200797E-2</v>
      </c>
      <c r="N12" s="20">
        <v>2.5552708117880966E-2</v>
      </c>
      <c r="O12" s="20">
        <v>2.7890058650537477E-2</v>
      </c>
      <c r="P12" s="20">
        <v>3.0306796778285988E-2</v>
      </c>
    </row>
    <row r="13" spans="1:19" x14ac:dyDescent="0.35">
      <c r="A13" s="8">
        <f t="shared" si="1"/>
        <v>29</v>
      </c>
      <c r="B13" s="20">
        <v>1.886418243762411E-3</v>
      </c>
      <c r="C13" s="20">
        <v>3.6695917789909848E-3</v>
      </c>
      <c r="D13" s="20">
        <v>5.4847927604542391E-3</v>
      </c>
      <c r="E13" s="20">
        <v>7.3339685280206712E-3</v>
      </c>
      <c r="F13" s="20">
        <v>9.222720434781605E-3</v>
      </c>
      <c r="G13" s="20">
        <v>1.115842729926732E-2</v>
      </c>
      <c r="H13" s="20">
        <v>1.3146017254586116E-2</v>
      </c>
      <c r="I13" s="20">
        <v>1.5188897897046187E-2</v>
      </c>
      <c r="J13" s="20">
        <v>1.7290142257961379E-2</v>
      </c>
      <c r="K13" s="20">
        <v>1.9452714727800465E-2</v>
      </c>
      <c r="L13" s="20">
        <v>2.1680844773874667E-2</v>
      </c>
      <c r="M13" s="20">
        <v>2.3979869156029673E-2</v>
      </c>
      <c r="N13" s="20">
        <v>2.635682272913507E-2</v>
      </c>
      <c r="O13" s="20">
        <v>2.8818175036825246E-2</v>
      </c>
      <c r="P13" s="20">
        <v>3.1368987625019287E-2</v>
      </c>
      <c r="S13" s="11"/>
    </row>
    <row r="14" spans="1:19" x14ac:dyDescent="0.35">
      <c r="A14" s="8">
        <f t="shared" si="1"/>
        <v>30</v>
      </c>
      <c r="B14" s="20">
        <v>1.9164955963712632E-3</v>
      </c>
      <c r="C14" s="20">
        <v>3.7262249428078953E-3</v>
      </c>
      <c r="D14" s="20">
        <v>5.5734011948520741E-3</v>
      </c>
      <c r="E14" s="20">
        <v>7.4645377812658552E-3</v>
      </c>
      <c r="F14" s="20">
        <v>9.4075505950420666E-3</v>
      </c>
      <c r="G14" s="20">
        <v>1.1407189518139215E-2</v>
      </c>
      <c r="H14" s="20">
        <v>1.3466620258077232E-2</v>
      </c>
      <c r="I14" s="20">
        <v>1.5588793753784363E-2</v>
      </c>
      <c r="J14" s="20">
        <v>1.7776630190111598E-2</v>
      </c>
      <c r="K14" s="20">
        <v>2.003448183255244E-2</v>
      </c>
      <c r="L14" s="20">
        <v>2.2367888285163211E-2</v>
      </c>
      <c r="M14" s="20">
        <v>2.4784184269223585E-2</v>
      </c>
      <c r="N14" s="20">
        <v>2.729004160648122E-2</v>
      </c>
      <c r="O14" s="20">
        <v>2.9890606501952414E-2</v>
      </c>
      <c r="P14" s="20">
        <v>3.259010904529696E-2</v>
      </c>
    </row>
    <row r="15" spans="1:19" x14ac:dyDescent="0.35">
      <c r="A15" s="8">
        <f t="shared" si="1"/>
        <v>31</v>
      </c>
      <c r="B15" s="20">
        <v>1.9434476373277033E-3</v>
      </c>
      <c r="C15" s="20">
        <v>3.7875294660430943E-3</v>
      </c>
      <c r="D15" s="20">
        <v>5.6804850655176467E-3</v>
      </c>
      <c r="E15" s="20">
        <v>7.6305897916260556E-3</v>
      </c>
      <c r="F15" s="21">
        <v>9.642104481410398E-3</v>
      </c>
      <c r="G15" s="20">
        <v>1.1717838016529973E-2</v>
      </c>
      <c r="H15" s="20">
        <v>1.3860612526238752E-2</v>
      </c>
      <c r="I15" s="20">
        <v>1.6073327395592134E-2</v>
      </c>
      <c r="J15" s="20">
        <v>1.8360513069014591E-2</v>
      </c>
      <c r="K15" s="20">
        <v>2.0727965586268424E-2</v>
      </c>
      <c r="L15" s="20">
        <v>2.3183374284832831E-2</v>
      </c>
      <c r="M15" s="20">
        <v>2.5733637719569047E-2</v>
      </c>
      <c r="N15" s="20">
        <v>2.8383990385240844E-2</v>
      </c>
      <c r="O15" s="20">
        <v>3.1138701988989301E-2</v>
      </c>
      <c r="P15" s="20">
        <v>3.4000870128323049E-2</v>
      </c>
      <c r="Q15" s="11">
        <f>15000000*F15</f>
        <v>144631.56722115597</v>
      </c>
    </row>
    <row r="16" spans="1:19" x14ac:dyDescent="0.35">
      <c r="A16" s="8">
        <f t="shared" si="1"/>
        <v>32</v>
      </c>
      <c r="B16" s="20">
        <v>1.9884120064257468E-3</v>
      </c>
      <c r="C16" s="20">
        <v>3.8834370890968228E-3</v>
      </c>
      <c r="D16" s="20">
        <v>5.8410337179497732E-3</v>
      </c>
      <c r="E16" s="20">
        <v>7.8645626908430393E-3</v>
      </c>
      <c r="F16" s="20">
        <v>9.95645849957804E-3</v>
      </c>
      <c r="G16" s="20">
        <v>1.2119494383528086E-2</v>
      </c>
      <c r="H16" s="20">
        <v>1.4356622553562778E-2</v>
      </c>
      <c r="I16" s="20">
        <v>1.6672644379224486E-2</v>
      </c>
      <c r="J16" s="20">
        <v>1.9073686387526358E-2</v>
      </c>
      <c r="K16" s="20">
        <v>2.1567860216998448E-2</v>
      </c>
      <c r="L16" s="20">
        <v>2.4162315894607281E-2</v>
      </c>
      <c r="M16" s="20">
        <v>2.6862375160920379E-2</v>
      </c>
      <c r="N16" s="20">
        <v>2.967234414960554E-2</v>
      </c>
      <c r="O16" s="20">
        <v>3.2595308598293113E-2</v>
      </c>
      <c r="P16" s="20">
        <v>3.5632335366816238E-2</v>
      </c>
    </row>
    <row r="17" spans="1:20" x14ac:dyDescent="0.35">
      <c r="A17" s="8">
        <f t="shared" si="1"/>
        <v>33</v>
      </c>
      <c r="B17" s="20">
        <v>2.0508812433467256E-3</v>
      </c>
      <c r="C17" s="20">
        <v>4.0166696412548362E-3</v>
      </c>
      <c r="D17" s="20">
        <v>6.0522175870692729E-3</v>
      </c>
      <c r="E17" s="20">
        <v>8.1598623866758861E-3</v>
      </c>
      <c r="F17" s="20">
        <v>1.0342525717859668E-2</v>
      </c>
      <c r="G17" s="20">
        <v>1.2603322352181557E-2</v>
      </c>
      <c r="H17" s="20">
        <v>1.494744130772435E-2</v>
      </c>
      <c r="I17" s="20">
        <v>1.7381418996791829E-2</v>
      </c>
      <c r="J17" s="20">
        <v>1.9913858329414599E-2</v>
      </c>
      <c r="K17" s="20">
        <v>2.2552173787745818E-2</v>
      </c>
      <c r="L17" s="20">
        <v>2.5301759143393786E-2</v>
      </c>
      <c r="M17" s="20">
        <v>2.8166944163901676E-2</v>
      </c>
      <c r="N17" s="20">
        <v>3.1150792257673955E-2</v>
      </c>
      <c r="O17" s="20">
        <v>3.4254260259384765E-2</v>
      </c>
      <c r="P17" s="20">
        <v>3.7475281135669294E-2</v>
      </c>
    </row>
    <row r="18" spans="1:20" x14ac:dyDescent="0.35">
      <c r="A18" s="8">
        <f t="shared" si="1"/>
        <v>34</v>
      </c>
      <c r="B18" s="20">
        <v>2.1376602844437559E-3</v>
      </c>
      <c r="C18" s="20">
        <v>4.1842360735052176E-3</v>
      </c>
      <c r="D18" s="20">
        <v>6.3064750208581457E-3</v>
      </c>
      <c r="E18" s="20">
        <v>8.5075843916215758E-3</v>
      </c>
      <c r="F18" s="20">
        <v>1.0790886625399962E-2</v>
      </c>
      <c r="G18" s="20">
        <v>1.3162057280650452E-2</v>
      </c>
      <c r="H18" s="20">
        <v>1.5628098722910828E-2</v>
      </c>
      <c r="I18" s="20">
        <v>1.8198158933762171E-2</v>
      </c>
      <c r="J18" s="20">
        <v>2.0879903068528535E-2</v>
      </c>
      <c r="K18" s="20">
        <v>2.3678757516225068E-2</v>
      </c>
      <c r="L18" s="20">
        <v>2.6599048521560444E-2</v>
      </c>
      <c r="M18" s="20">
        <v>2.9643798093454368E-2</v>
      </c>
      <c r="N18" s="20">
        <v>3.2813833488789086E-2</v>
      </c>
      <c r="O18" s="20">
        <v>3.6106830606981256E-2</v>
      </c>
      <c r="P18" s="20">
        <v>3.9518041491176374E-2</v>
      </c>
    </row>
    <row r="19" spans="1:20" x14ac:dyDescent="0.35">
      <c r="A19" s="8">
        <f t="shared" si="1"/>
        <v>35</v>
      </c>
      <c r="B19" s="20">
        <v>2.2237003674264767E-3</v>
      </c>
      <c r="C19" s="20">
        <v>4.3591703736892366E-3</v>
      </c>
      <c r="D19" s="20">
        <v>6.5774509340150063E-3</v>
      </c>
      <c r="E19" s="20">
        <v>8.8820480033365064E-3</v>
      </c>
      <c r="F19" s="20">
        <v>1.1279241140595147E-2</v>
      </c>
      <c r="G19" s="20">
        <v>1.377653979473672E-2</v>
      </c>
      <c r="H19" s="20">
        <v>1.6383683875379723E-2</v>
      </c>
      <c r="I19" s="20">
        <v>1.9108546927051349E-2</v>
      </c>
      <c r="J19" s="20">
        <v>2.1956524460201968E-2</v>
      </c>
      <c r="K19" s="20">
        <v>2.4931901637153753E-2</v>
      </c>
      <c r="L19" s="20">
        <v>2.8037635974230368E-2</v>
      </c>
      <c r="M19" s="20">
        <v>3.1274403180664656E-2</v>
      </c>
      <c r="N19" s="20">
        <v>3.4639595941825724E-2</v>
      </c>
      <c r="O19" s="20">
        <v>3.8128134067657408E-2</v>
      </c>
      <c r="P19" s="20">
        <v>4.1733794009954306E-2</v>
      </c>
      <c r="T19" s="11"/>
    </row>
    <row r="20" spans="1:20" x14ac:dyDescent="0.35">
      <c r="A20" s="8">
        <f t="shared" si="1"/>
        <v>36</v>
      </c>
      <c r="B20" s="20">
        <v>2.3263770769092642E-3</v>
      </c>
      <c r="C20" s="20">
        <v>4.560620883981876E-3</v>
      </c>
      <c r="D20" s="20">
        <v>6.8853185314862028E-3</v>
      </c>
      <c r="E20" s="20">
        <v>9.3075769216658544E-3</v>
      </c>
      <c r="F20" s="20">
        <v>1.1835428996809578E-2</v>
      </c>
      <c r="G20" s="18">
        <v>1.4479248133822271E-2</v>
      </c>
      <c r="H20" s="20">
        <v>1.7247033605832719E-2</v>
      </c>
      <c r="I20" s="20">
        <v>2.0144058596699082E-2</v>
      </c>
      <c r="J20" s="20">
        <v>2.3174523031325563E-2</v>
      </c>
      <c r="K20" s="20">
        <v>2.6341297583633481E-2</v>
      </c>
      <c r="L20" s="20">
        <v>2.9644885653628189E-2</v>
      </c>
      <c r="M20" s="20">
        <v>3.3082370830756005E-2</v>
      </c>
      <c r="N20" s="20">
        <v>3.6648324459574104E-2</v>
      </c>
      <c r="O20" s="20">
        <v>4.033622427852742E-2</v>
      </c>
      <c r="P20" s="20">
        <v>4.4139145763055138E-2</v>
      </c>
      <c r="R20" s="11"/>
    </row>
    <row r="21" spans="1:20" x14ac:dyDescent="0.35">
      <c r="A21" s="8">
        <f t="shared" si="1"/>
        <v>37</v>
      </c>
      <c r="B21" s="20">
        <v>2.4345258508289571E-3</v>
      </c>
      <c r="C21" s="20">
        <v>4.7781366146759392E-3</v>
      </c>
      <c r="D21" s="20">
        <v>7.2247086905089554E-3</v>
      </c>
      <c r="E21" s="20">
        <v>9.7826595681364762E-3</v>
      </c>
      <c r="F21" s="20">
        <v>1.2463021764703456E-2</v>
      </c>
      <c r="G21" s="20">
        <v>1.5273770303205737E-2</v>
      </c>
      <c r="H21" s="20">
        <v>1.8219932094688363E-2</v>
      </c>
      <c r="I21" s="20">
        <v>2.1305579407818437E-2</v>
      </c>
      <c r="J21" s="20">
        <v>2.4533482277003024E-2</v>
      </c>
      <c r="K21" s="20">
        <v>2.79039569965755E-2</v>
      </c>
      <c r="L21" s="20">
        <v>3.1413754969972667E-2</v>
      </c>
      <c r="M21" s="20">
        <v>3.5057087593866394E-2</v>
      </c>
      <c r="N21" s="20">
        <v>3.8827142627457019E-2</v>
      </c>
      <c r="O21" s="20">
        <v>4.2716782991423619E-2</v>
      </c>
      <c r="P21" s="20">
        <v>4.6720079705065823E-2</v>
      </c>
    </row>
    <row r="22" spans="1:20" x14ac:dyDescent="0.35">
      <c r="A22" s="8">
        <f t="shared" si="1"/>
        <v>38</v>
      </c>
      <c r="B22" s="20">
        <v>2.5589903209187232E-3</v>
      </c>
      <c r="C22" s="20">
        <v>5.0297071927071155E-3</v>
      </c>
      <c r="D22" s="20">
        <v>7.6177189152216197E-3</v>
      </c>
      <c r="E22" s="20">
        <v>1.0334865986558563E-2</v>
      </c>
      <c r="F22" s="20">
        <v>1.3188868236439794E-2</v>
      </c>
      <c r="G22" s="20">
        <v>1.6184368324306128E-2</v>
      </c>
      <c r="H22" s="20">
        <v>1.9325297490257399E-2</v>
      </c>
      <c r="I22" s="18">
        <v>2.2614336827822001E-2</v>
      </c>
      <c r="J22" s="20">
        <v>2.6051614892556186E-2</v>
      </c>
      <c r="K22" s="20">
        <v>2.9633534245586225E-2</v>
      </c>
      <c r="L22" s="20">
        <v>3.3353942646513715E-2</v>
      </c>
      <c r="M22" s="20">
        <v>3.7205757480306578E-2</v>
      </c>
      <c r="N22" s="20">
        <v>4.1181663622410776E-2</v>
      </c>
      <c r="O22" s="20">
        <v>4.5275704879315759E-2</v>
      </c>
      <c r="P22" s="20">
        <v>4.9483570258794712E-2</v>
      </c>
    </row>
    <row r="23" spans="1:20" x14ac:dyDescent="0.35">
      <c r="A23" s="8">
        <f t="shared" si="1"/>
        <v>39</v>
      </c>
      <c r="B23" s="20">
        <v>2.7047307727833102E-3</v>
      </c>
      <c r="C23" s="20">
        <v>5.3229193912031373E-3</v>
      </c>
      <c r="D23" s="20">
        <v>8.0773702377443021E-3</v>
      </c>
      <c r="E23" s="22">
        <v>1.0975031750934677E-2</v>
      </c>
      <c r="F23" s="20">
        <v>1.4020022835648859E-2</v>
      </c>
      <c r="G23" s="20">
        <v>1.7216182125815833E-2</v>
      </c>
      <c r="H23" s="20">
        <v>2.0566150840619343E-2</v>
      </c>
      <c r="I23" s="20">
        <v>2.4069883447368073E-2</v>
      </c>
      <c r="J23" s="20">
        <v>2.7723419901253921E-2</v>
      </c>
      <c r="K23" s="20">
        <v>3.1520246695852912E-2</v>
      </c>
      <c r="L23" s="20">
        <v>3.5453041222646468E-2</v>
      </c>
      <c r="M23" s="20">
        <v>3.9514356379825817E-2</v>
      </c>
      <c r="N23" s="20">
        <v>4.3698272071270187E-2</v>
      </c>
      <c r="O23" s="20">
        <v>4.8000631976605528E-2</v>
      </c>
      <c r="P23" s="20">
        <v>5.2417759202301101E-2</v>
      </c>
      <c r="T23" s="11"/>
    </row>
    <row r="24" spans="1:20" x14ac:dyDescent="0.35">
      <c r="A24" s="8">
        <f t="shared" si="1"/>
        <v>40</v>
      </c>
      <c r="B24" s="20">
        <v>2.8727686748772517E-3</v>
      </c>
      <c r="C24" s="20">
        <v>5.6655992548430532E-3</v>
      </c>
      <c r="D24" s="20">
        <v>8.6073408247979086E-3</v>
      </c>
      <c r="E24" s="18">
        <v>1.1701731004597666E-2</v>
      </c>
      <c r="F24" s="20">
        <v>1.4952733209027845E-2</v>
      </c>
      <c r="G24" s="20">
        <v>1.8363054495563434E-2</v>
      </c>
      <c r="H24" s="20">
        <v>2.193249809519926E-2</v>
      </c>
      <c r="I24" s="18">
        <v>2.5656722096946961E-2</v>
      </c>
      <c r="J24" s="20">
        <v>2.9528856776654545E-2</v>
      </c>
      <c r="K24" s="20">
        <v>3.3541380448171947E-2</v>
      </c>
      <c r="L24" s="20">
        <v>3.7686771721013305E-2</v>
      </c>
      <c r="M24" s="20">
        <v>4.1959222712866381E-2</v>
      </c>
      <c r="N24" s="20">
        <v>4.6354810701133606E-2</v>
      </c>
      <c r="O24" s="20">
        <v>5.0870074892888979E-2</v>
      </c>
      <c r="P24" s="20">
        <v>5.5502131819764274E-2</v>
      </c>
    </row>
    <row r="25" spans="1:20" x14ac:dyDescent="0.35">
      <c r="A25" s="8">
        <f t="shared" si="1"/>
        <v>41</v>
      </c>
      <c r="B25" s="20">
        <v>3.0757087942217647E-3</v>
      </c>
      <c r="C25" s="20">
        <v>6.0608956378471164E-3</v>
      </c>
      <c r="D25" s="20">
        <v>9.203653295427449E-3</v>
      </c>
      <c r="E25" s="20">
        <v>1.2508343052374318E-2</v>
      </c>
      <c r="F25" s="20">
        <v>1.5977787450353751E-2</v>
      </c>
      <c r="G25" s="18">
        <v>1.9611601162650594E-2</v>
      </c>
      <c r="H25" s="20">
        <v>2.3404997373291377E-2</v>
      </c>
      <c r="I25" s="18">
        <v>2.7350742687691044E-2</v>
      </c>
      <c r="J25" s="20">
        <v>3.1441162757723642E-2</v>
      </c>
      <c r="K25" s="20">
        <v>3.5668728557085083E-2</v>
      </c>
      <c r="L25" s="20">
        <v>4.0027832039509138E-2</v>
      </c>
      <c r="M25" s="20">
        <v>4.4514872210945369E-2</v>
      </c>
      <c r="N25" s="20">
        <v>4.9126671475153171E-2</v>
      </c>
      <c r="O25" s="20">
        <v>5.3860604129389061E-2</v>
      </c>
      <c r="P25" s="20">
        <v>5.8713918897022446E-2</v>
      </c>
      <c r="S25" s="15"/>
    </row>
    <row r="26" spans="1:20" x14ac:dyDescent="0.35">
      <c r="A26" s="8">
        <f t="shared" si="1"/>
        <v>42</v>
      </c>
      <c r="B26" s="20">
        <v>3.2842892592678209E-3</v>
      </c>
      <c r="C26" s="20">
        <v>6.4737355467607812E-3</v>
      </c>
      <c r="D26" s="18">
        <v>9.830558761019079E-3</v>
      </c>
      <c r="E26" s="18">
        <v>1.3357578533070697E-2</v>
      </c>
      <c r="F26" s="20">
        <v>1.7054097568703797E-2</v>
      </c>
      <c r="G26" s="20">
        <v>2.0914779345765782E-2</v>
      </c>
      <c r="H26" s="18">
        <v>2.4932025334996933E-2</v>
      </c>
      <c r="I26" s="20">
        <v>2.9098078496938774E-2</v>
      </c>
      <c r="J26" s="20">
        <v>3.3405489211431286E-2</v>
      </c>
      <c r="K26" s="20">
        <v>3.7848956195859998E-2</v>
      </c>
      <c r="L26" s="20">
        <v>4.2425301619364308E-2</v>
      </c>
      <c r="M26" s="20">
        <v>4.7131702640473477E-2</v>
      </c>
      <c r="N26" s="20">
        <v>5.1965845892635129E-2</v>
      </c>
      <c r="O26" s="20">
        <v>5.6925210015334633E-2</v>
      </c>
      <c r="P26" s="20">
        <v>6.2006339812231782E-2</v>
      </c>
    </row>
    <row r="27" spans="1:20" x14ac:dyDescent="0.35">
      <c r="A27" s="8">
        <f t="shared" si="1"/>
        <v>43</v>
      </c>
      <c r="B27" s="20">
        <v>3.5117601583828789E-3</v>
      </c>
      <c r="C27" s="20">
        <v>6.9191169529426088E-3</v>
      </c>
      <c r="D27" s="20">
        <v>1.05019662477016E-2</v>
      </c>
      <c r="E27" s="20">
        <v>1.4259171026213491E-2</v>
      </c>
      <c r="F27" s="20">
        <v>1.8184750361842129E-2</v>
      </c>
      <c r="G27" s="19">
        <v>2.2270794338042688E-2</v>
      </c>
      <c r="H27" s="20">
        <v>2.6509587943971465E-2</v>
      </c>
      <c r="I27" s="20">
        <v>3.0893882459302868E-2</v>
      </c>
      <c r="J27" s="20">
        <v>3.541881688908434E-2</v>
      </c>
      <c r="K27" s="20">
        <v>4.0081753214159181E-2</v>
      </c>
      <c r="L27" s="20">
        <v>4.4880297372541032E-2</v>
      </c>
      <c r="M27" s="20">
        <v>4.9812501255222956E-2</v>
      </c>
      <c r="N27" s="20">
        <v>5.4876106990095305E-2</v>
      </c>
      <c r="O27" s="20">
        <v>6.0067796599981696E-2</v>
      </c>
      <c r="P27" s="20">
        <v>6.5391590465568181E-2</v>
      </c>
      <c r="R27" s="12"/>
      <c r="S27" s="16"/>
      <c r="T27" s="13"/>
    </row>
    <row r="28" spans="1:20" x14ac:dyDescent="0.35">
      <c r="A28" s="8">
        <f t="shared" si="1"/>
        <v>44</v>
      </c>
      <c r="B28" s="20">
        <v>3.7504217876876212E-3</v>
      </c>
      <c r="C28" s="20">
        <v>7.3869587687171038E-3</v>
      </c>
      <c r="D28" s="20">
        <v>1.1202273270127539E-2</v>
      </c>
      <c r="E28" s="20">
        <v>1.5189669293872032E-2</v>
      </c>
      <c r="F28" s="20">
        <v>1.9341072927739192E-2</v>
      </c>
      <c r="G28" s="20">
        <v>2.3649002826630235E-2</v>
      </c>
      <c r="H28" s="20">
        <v>2.8106560472482355E-2</v>
      </c>
      <c r="I28" s="20">
        <v>3.2709477878054234E-2</v>
      </c>
      <c r="J28" s="20">
        <v>3.7455779441350263E-2</v>
      </c>
      <c r="K28" s="20">
        <v>4.2343565638514206E-2</v>
      </c>
      <c r="L28" s="20">
        <v>4.7371296520307062E-2</v>
      </c>
      <c r="M28" s="20">
        <v>5.2537000755779086E-2</v>
      </c>
      <c r="N28" s="20">
        <v>5.7837504538686788E-2</v>
      </c>
      <c r="O28" s="20">
        <v>6.327746229012067E-2</v>
      </c>
      <c r="P28" s="20">
        <v>6.886905912404867E-2</v>
      </c>
      <c r="R28" s="11"/>
    </row>
    <row r="29" spans="1:20" x14ac:dyDescent="0.35">
      <c r="A29" s="8">
        <f t="shared" si="1"/>
        <v>45</v>
      </c>
      <c r="B29" s="20">
        <v>4.0020949816325533E-3</v>
      </c>
      <c r="C29" s="20">
        <v>7.8720466154942395E-3</v>
      </c>
      <c r="D29" s="20">
        <v>1.191717392547321E-2</v>
      </c>
      <c r="E29" s="20">
        <v>1.6129549384331386E-2</v>
      </c>
      <c r="F29" s="20">
        <v>2.0502176134597604E-2</v>
      </c>
      <c r="G29" s="20">
        <v>2.5028654147166617E-2</v>
      </c>
      <c r="H29" s="20">
        <v>2.9705462922296214E-2</v>
      </c>
      <c r="I29" s="18">
        <v>3.4531402366774745E-2</v>
      </c>
      <c r="J29" s="20">
        <v>3.9505109989105239E-2</v>
      </c>
      <c r="K29" s="18">
        <v>4.462547712784877E-2</v>
      </c>
      <c r="L29" s="20">
        <v>4.9890825116927273E-2</v>
      </c>
      <c r="M29" s="20">
        <v>5.5298117037538758E-2</v>
      </c>
      <c r="N29" s="20">
        <v>6.0852718375446618E-2</v>
      </c>
      <c r="O29" s="20">
        <v>6.656789429798432E-2</v>
      </c>
      <c r="P29" s="20">
        <v>7.2462858874330668E-2</v>
      </c>
    </row>
    <row r="30" spans="1:20" x14ac:dyDescent="0.35">
      <c r="A30" s="8">
        <f t="shared" si="1"/>
        <v>46</v>
      </c>
      <c r="B30" s="20">
        <v>4.2513572186981957E-3</v>
      </c>
      <c r="C30" s="20">
        <v>8.3489576343149553E-3</v>
      </c>
      <c r="D30" s="18">
        <v>1.2617015213520311E-2</v>
      </c>
      <c r="E30" s="20">
        <v>1.7049223356347998E-2</v>
      </c>
      <c r="F30" s="20">
        <v>2.1639758453422052E-2</v>
      </c>
      <c r="G30" s="20">
        <v>2.6385982223186874E-2</v>
      </c>
      <c r="H30" s="20">
        <v>3.128755781686525E-2</v>
      </c>
      <c r="I30" s="20">
        <v>3.634366406852492E-2</v>
      </c>
      <c r="J30" s="20">
        <v>4.1553620113477283E-2</v>
      </c>
      <c r="K30" s="20">
        <v>4.691602610994039E-2</v>
      </c>
      <c r="L30" s="20">
        <v>5.2427959515310645E-2</v>
      </c>
      <c r="M30" s="20">
        <v>5.8095586091189304E-2</v>
      </c>
      <c r="N30" s="20">
        <v>6.393337609868327E-2</v>
      </c>
      <c r="O30" s="20">
        <v>6.9961900554625589E-2</v>
      </c>
      <c r="P30" s="20">
        <v>7.6200457572612373E-2</v>
      </c>
      <c r="S30" s="14"/>
    </row>
    <row r="31" spans="1:20" x14ac:dyDescent="0.35">
      <c r="A31" s="8">
        <f t="shared" si="1"/>
        <v>47</v>
      </c>
      <c r="B31" s="20">
        <v>4.4914427875390669E-3</v>
      </c>
      <c r="C31" s="20">
        <v>8.8094781901213379E-3</v>
      </c>
      <c r="D31" s="20">
        <v>1.3295897286534459E-2</v>
      </c>
      <c r="E31" s="20">
        <v>1.7945434839356882E-2</v>
      </c>
      <c r="F31" s="20">
        <v>2.2756484802369671E-2</v>
      </c>
      <c r="G31" s="20">
        <v>2.7729643605124012E-2</v>
      </c>
      <c r="H31" s="20">
        <v>3.28645932551054E-2</v>
      </c>
      <c r="I31" s="20">
        <v>3.8161054099000044E-2</v>
      </c>
      <c r="J31" s="20">
        <v>4.3617876149919764E-2</v>
      </c>
      <c r="K31" s="20">
        <v>4.9232218281975174E-2</v>
      </c>
      <c r="L31" s="20">
        <v>5.5011160700734099E-2</v>
      </c>
      <c r="M31" s="20">
        <v>6.097053042878961E-2</v>
      </c>
      <c r="N31" s="20">
        <v>6.7132390983497436E-2</v>
      </c>
      <c r="O31" s="20">
        <v>7.3517122871426491E-2</v>
      </c>
      <c r="P31" s="20">
        <v>8.0144119319748436E-2</v>
      </c>
    </row>
    <row r="32" spans="1:20" x14ac:dyDescent="0.35">
      <c r="A32" s="8">
        <f t="shared" si="1"/>
        <v>48</v>
      </c>
      <c r="B32" s="20">
        <v>4.7251787092151241E-3</v>
      </c>
      <c r="C32" s="20">
        <v>9.2605283668492234E-3</v>
      </c>
      <c r="D32" s="20">
        <v>1.3964034763617794E-2</v>
      </c>
      <c r="E32" s="20">
        <v>1.8835400136029221E-2</v>
      </c>
      <c r="F32" s="20">
        <v>2.3876201869500818E-2</v>
      </c>
      <c r="G32" s="20">
        <v>2.9086526197952461E-2</v>
      </c>
      <c r="H32" s="20">
        <v>3.4466447959277856E-2</v>
      </c>
      <c r="I32" s="20">
        <v>4.0015028220209074E-2</v>
      </c>
      <c r="J32" s="20">
        <v>4.572946878358989E-2</v>
      </c>
      <c r="K32" s="20">
        <v>5.1617920365206703E-2</v>
      </c>
      <c r="L32" s="20">
        <v>5.7697756268276085E-2</v>
      </c>
      <c r="M32" s="20">
        <v>6.3992690148377857E-2</v>
      </c>
      <c r="N32" s="20">
        <v>7.0524241966486934E-2</v>
      </c>
      <c r="O32" s="20">
        <v>7.7312674007238583E-2</v>
      </c>
      <c r="P32" s="20">
        <v>8.4375720337556567E-2</v>
      </c>
      <c r="S32" s="12"/>
    </row>
    <row r="33" spans="1:20" x14ac:dyDescent="0.35">
      <c r="A33" s="8">
        <f t="shared" si="1"/>
        <v>49</v>
      </c>
      <c r="B33" s="20">
        <v>4.9582679958554013E-3</v>
      </c>
      <c r="C33" s="20">
        <v>9.7106958279912399E-3</v>
      </c>
      <c r="D33" s="20">
        <v>1.463807460331421E-2</v>
      </c>
      <c r="E33" s="20">
        <v>1.9742839037761556E-2</v>
      </c>
      <c r="F33" s="20">
        <v>2.5025258870335385E-2</v>
      </c>
      <c r="G33" s="20">
        <v>3.0485703020153233E-2</v>
      </c>
      <c r="H33" s="20">
        <v>3.6123403360160067E-2</v>
      </c>
      <c r="I33" s="20">
        <v>4.1935566742282236E-2</v>
      </c>
      <c r="J33" s="20">
        <v>4.7931636773700409E-2</v>
      </c>
      <c r="K33" s="20">
        <v>5.4130773422695996E-2</v>
      </c>
      <c r="L33" s="20">
        <v>6.0558522764697642E-2</v>
      </c>
      <c r="M33" s="20">
        <v>6.723759362417224E-2</v>
      </c>
      <c r="N33" s="20">
        <v>7.4189122061400339E-2</v>
      </c>
      <c r="O33" s="20">
        <v>8.143142824703449E-2</v>
      </c>
      <c r="P33" s="20">
        <v>8.8973203278336757E-2</v>
      </c>
      <c r="R33" s="12"/>
      <c r="T33" s="17"/>
    </row>
    <row r="34" spans="1:20" x14ac:dyDescent="0.35">
      <c r="A34" s="8">
        <f t="shared" si="1"/>
        <v>50</v>
      </c>
      <c r="B34" s="20">
        <v>5.1916073695724265E-3</v>
      </c>
      <c r="C34" s="20">
        <v>1.017147473847547E-2</v>
      </c>
      <c r="D34" s="20">
        <v>1.5337120256080252E-2</v>
      </c>
      <c r="E34" s="20">
        <v>2.068870360434847E-2</v>
      </c>
      <c r="F34" s="20">
        <v>2.6226909491397724E-2</v>
      </c>
      <c r="G34" s="18">
        <v>3.1951138642577169E-2</v>
      </c>
      <c r="H34" s="20">
        <v>3.7858583598012321E-2</v>
      </c>
      <c r="I34" s="20">
        <v>4.3960311294833868E-2</v>
      </c>
      <c r="J34" s="20">
        <v>5.0277575951219358E-2</v>
      </c>
      <c r="K34" s="20">
        <v>5.6837962346924564E-2</v>
      </c>
      <c r="L34" s="20">
        <v>6.3665397764181286E-2</v>
      </c>
      <c r="M34" s="20">
        <v>7.0781873535358558E-2</v>
      </c>
      <c r="N34" s="20">
        <v>7.8206253184595856E-2</v>
      </c>
      <c r="O34" s="20">
        <v>8.5947069849007823E-2</v>
      </c>
      <c r="P34" s="20">
        <v>9.4013473297872366E-2</v>
      </c>
      <c r="R34" s="11"/>
    </row>
    <row r="35" spans="1:20" x14ac:dyDescent="0.35">
      <c r="A35" s="8">
        <f t="shared" si="1"/>
        <v>51</v>
      </c>
      <c r="B35" s="20">
        <v>5.4454399060665706E-3</v>
      </c>
      <c r="C35" s="20">
        <v>1.0669209754999263E-2</v>
      </c>
      <c r="D35" s="20">
        <v>1.6086998318580924E-2</v>
      </c>
      <c r="E35" s="18">
        <v>2.1700064272486656E-2</v>
      </c>
      <c r="F35" s="20">
        <v>2.7508008879456924E-2</v>
      </c>
      <c r="G35" s="20">
        <v>3.3507994425282732E-2</v>
      </c>
      <c r="H35" s="20">
        <v>3.9713194137832752E-2</v>
      </c>
      <c r="I35" s="20">
        <v>4.61473329180076E-2</v>
      </c>
      <c r="J35" s="20">
        <v>5.2840246145492792E-2</v>
      </c>
      <c r="K35" s="20">
        <v>5.9817060682728809E-2</v>
      </c>
      <c r="L35" s="20">
        <v>6.7100561874292364E-2</v>
      </c>
      <c r="M35" s="20">
        <v>7.4710080538053669E-2</v>
      </c>
      <c r="N35" s="20">
        <v>8.2653850985278013E-2</v>
      </c>
      <c r="O35" s="20">
        <v>9.0940995695239502E-2</v>
      </c>
      <c r="P35" s="20">
        <v>9.9578829924304918E-2</v>
      </c>
    </row>
    <row r="36" spans="1:20" x14ac:dyDescent="0.35">
      <c r="A36" s="8">
        <f t="shared" si="1"/>
        <v>52</v>
      </c>
      <c r="B36" s="20">
        <v>5.7148161819145548E-3</v>
      </c>
      <c r="C36" s="20">
        <v>1.1195359132959515E-2</v>
      </c>
      <c r="D36" s="20">
        <v>1.6880095168517215E-2</v>
      </c>
      <c r="E36" s="20">
        <v>2.2768687950639962E-2</v>
      </c>
      <c r="F36" s="20">
        <v>2.885819155050668E-2</v>
      </c>
      <c r="G36" s="20">
        <v>3.5164598772320789E-2</v>
      </c>
      <c r="H36" s="20">
        <v>4.171453639835309E-2</v>
      </c>
      <c r="I36" s="20">
        <v>4.8540269677780155E-2</v>
      </c>
      <c r="J36" s="20">
        <v>5.5668012538371149E-2</v>
      </c>
      <c r="K36" s="20">
        <v>6.3121215647117646E-2</v>
      </c>
      <c r="L36" s="20">
        <v>7.0919555558772954E-2</v>
      </c>
      <c r="M36" s="20">
        <v>7.9070781658759817E-2</v>
      </c>
      <c r="N36" s="20">
        <v>8.7583918997608021E-2</v>
      </c>
      <c r="O36" s="20">
        <v>9.6466234305721446E-2</v>
      </c>
      <c r="P36" s="20">
        <v>0.1057176468136025</v>
      </c>
    </row>
    <row r="37" spans="1:20" x14ac:dyDescent="0.35">
      <c r="A37" s="8">
        <f t="shared" si="1"/>
        <v>53</v>
      </c>
      <c r="B37" s="20">
        <v>5.996829524317405E-3</v>
      </c>
      <c r="C37" s="20">
        <v>1.1750169660229706E-2</v>
      </c>
      <c r="D37" s="20">
        <v>1.7716271679194231E-2</v>
      </c>
      <c r="E37" s="20">
        <v>2.3892048711619995E-2</v>
      </c>
      <c r="F37" s="20">
        <v>3.0297511497311958E-2</v>
      </c>
      <c r="G37" s="20">
        <v>3.6962642056746271E-2</v>
      </c>
      <c r="H37" s="20">
        <v>4.3922217847095289E-2</v>
      </c>
      <c r="I37" s="20">
        <v>5.1203270804691954E-2</v>
      </c>
      <c r="J37" s="20">
        <v>5.8829697310105969E-2</v>
      </c>
      <c r="K37" s="20">
        <v>6.6821347156829219E-2</v>
      </c>
      <c r="L37" s="20">
        <v>7.5185250088302624E-2</v>
      </c>
      <c r="M37" s="20">
        <v>8.3930261812123111E-2</v>
      </c>
      <c r="N37" s="20">
        <v>9.3063577834160166E-2</v>
      </c>
      <c r="O37" s="20">
        <v>0.10258467838218557</v>
      </c>
      <c r="P37" s="20">
        <v>0.11247917461080201</v>
      </c>
    </row>
    <row r="38" spans="1:20" x14ac:dyDescent="0.35">
      <c r="A38" s="8">
        <f t="shared" si="1"/>
        <v>54</v>
      </c>
      <c r="B38" s="20">
        <v>6.3002240621081521E-3</v>
      </c>
      <c r="C38" s="20">
        <v>1.2340263568172704E-2</v>
      </c>
      <c r="D38" s="20">
        <v>1.8598542964807844E-2</v>
      </c>
      <c r="E38" s="20">
        <v>2.5101213493326679E-2</v>
      </c>
      <c r="F38" s="20">
        <v>3.1881804864170922E-2</v>
      </c>
      <c r="G38" s="20">
        <v>3.8977417964815055E-2</v>
      </c>
      <c r="H38" s="20">
        <v>4.6415368121474246E-2</v>
      </c>
      <c r="I38" s="20">
        <v>5.4219664964896858E-2</v>
      </c>
      <c r="J38" s="20">
        <v>6.2410113500481132E-2</v>
      </c>
      <c r="K38" s="20">
        <v>7.0992744595112872E-2</v>
      </c>
      <c r="L38" s="20">
        <v>7.9976190491947693E-2</v>
      </c>
      <c r="M38" s="20">
        <v>8.936757868074599E-2</v>
      </c>
      <c r="N38" s="20">
        <v>9.9165919661234933E-2</v>
      </c>
      <c r="O38" s="20">
        <v>0.10935558572851509</v>
      </c>
      <c r="P38" s="20">
        <v>0.11991311064423246</v>
      </c>
    </row>
    <row r="39" spans="1:20" x14ac:dyDescent="0.35">
      <c r="A39" s="8">
        <f t="shared" si="1"/>
        <v>55</v>
      </c>
      <c r="B39" s="20">
        <v>6.6134644942783209E-3</v>
      </c>
      <c r="C39" s="20">
        <v>1.2949904368228208E-2</v>
      </c>
      <c r="D39" s="20">
        <v>1.9549427613121607E-2</v>
      </c>
      <c r="E39" s="20">
        <v>2.6447857967333663E-2</v>
      </c>
      <c r="F39" s="20">
        <v>3.3683914641506878E-2</v>
      </c>
      <c r="G39" s="20">
        <v>4.1284317976601564E-2</v>
      </c>
      <c r="H39" s="20">
        <v>4.9272799186191867E-2</v>
      </c>
      <c r="I39" s="20">
        <v>5.7668915320903118E-2</v>
      </c>
      <c r="J39" s="20">
        <v>6.6477408366981156E-2</v>
      </c>
      <c r="K39" s="20">
        <v>7.5706695928184742E-2</v>
      </c>
      <c r="L39" s="20">
        <v>8.5363898247122538E-2</v>
      </c>
      <c r="M39" s="20">
        <v>9.5447557037128053E-2</v>
      </c>
      <c r="N39" s="20">
        <v>0.10594071588656902</v>
      </c>
      <c r="O39" s="20">
        <v>0.11681844224514348</v>
      </c>
      <c r="P39" s="20">
        <v>0.12805880690509339</v>
      </c>
    </row>
    <row r="40" spans="1:20" x14ac:dyDescent="0.35">
      <c r="A40" s="8">
        <f t="shared" si="1"/>
        <v>56</v>
      </c>
      <c r="B40" s="20">
        <v>6.9379749536808118E-3</v>
      </c>
      <c r="C40" s="20">
        <v>1.363955313297806E-2</v>
      </c>
      <c r="D40" s="20">
        <v>2.0662438832106944E-2</v>
      </c>
      <c r="E40" s="20">
        <v>2.8046676619221719E-2</v>
      </c>
      <c r="F40" s="20">
        <v>3.5817492710769477E-2</v>
      </c>
      <c r="G40" s="20">
        <v>4.3998185786240304E-2</v>
      </c>
      <c r="H40" s="20">
        <v>5.2608045707551891E-2</v>
      </c>
      <c r="I40" s="18">
        <v>6.1650296436565222E-2</v>
      </c>
      <c r="J40" s="20">
        <v>7.1133285012250191E-2</v>
      </c>
      <c r="K40" s="20">
        <v>8.1064283859957592E-2</v>
      </c>
      <c r="L40" s="20">
        <v>9.1441415323962799E-2</v>
      </c>
      <c r="M40" s="20">
        <v>0.1022463161675685</v>
      </c>
      <c r="N40" s="20">
        <v>0.11345253955200561</v>
      </c>
      <c r="O40" s="20">
        <v>0.12503732663239636</v>
      </c>
      <c r="P40" s="20">
        <v>0.13698011958523001</v>
      </c>
    </row>
    <row r="41" spans="1:20" x14ac:dyDescent="0.35">
      <c r="A41" s="8">
        <f t="shared" si="1"/>
        <v>57</v>
      </c>
      <c r="B41" s="20">
        <v>7.3898981730516075E-3</v>
      </c>
      <c r="C41" s="20">
        <v>1.4545542784290568E-2</v>
      </c>
      <c r="D41" s="20">
        <v>2.2087026374763799E-2</v>
      </c>
      <c r="E41" s="20">
        <v>3.0036727595221656E-2</v>
      </c>
      <c r="F41" s="20">
        <v>3.8417715490403154E-2</v>
      </c>
      <c r="G41" s="20">
        <v>4.7249181127714236E-2</v>
      </c>
      <c r="H41" s="20">
        <v>5.6532593068793574E-2</v>
      </c>
      <c r="I41" s="20">
        <v>6.6276509543788262E-2</v>
      </c>
      <c r="J41" s="20">
        <v>7.6488598177330516E-2</v>
      </c>
      <c r="K41" s="20">
        <v>8.7166630584098251E-2</v>
      </c>
      <c r="L41" s="20">
        <v>9.8290738218478058E-2</v>
      </c>
      <c r="M41" s="20">
        <v>0.10983290830173723</v>
      </c>
      <c r="N41" s="20">
        <v>0.12176964653484795</v>
      </c>
      <c r="O41" s="20">
        <v>0.13408005405240442</v>
      </c>
      <c r="P41" s="20">
        <v>0.14674436993125484</v>
      </c>
    </row>
    <row r="42" spans="1:20" x14ac:dyDescent="0.35">
      <c r="A42" s="8">
        <f t="shared" si="1"/>
        <v>58</v>
      </c>
      <c r="B42" s="20">
        <v>7.9117896352497476E-3</v>
      </c>
      <c r="C42" s="20">
        <v>1.5621580864915106E-2</v>
      </c>
      <c r="D42" s="20">
        <v>2.3759292152998938E-2</v>
      </c>
      <c r="E42" s="20">
        <v>3.2349138010903868E-2</v>
      </c>
      <c r="F42" s="20">
        <v>4.1410596500078223E-2</v>
      </c>
      <c r="G42" s="20">
        <v>5.0943012829160077E-2</v>
      </c>
      <c r="H42" s="20">
        <v>6.0955608289850541E-2</v>
      </c>
      <c r="I42" s="20">
        <v>7.1456761978236791E-2</v>
      </c>
      <c r="J42" s="20">
        <v>8.2443946829516099E-2</v>
      </c>
      <c r="K42" s="20">
        <v>9.3895629032282726E-2</v>
      </c>
      <c r="L42" s="20">
        <v>0.10578215147783748</v>
      </c>
      <c r="M42" s="20">
        <v>0.11807939912072518</v>
      </c>
      <c r="N42" s="20">
        <v>0.13076629689220534</v>
      </c>
      <c r="O42" s="20">
        <v>0.1438230523606176</v>
      </c>
      <c r="P42" s="20">
        <v>0.15722820492390047</v>
      </c>
    </row>
    <row r="43" spans="1:20" x14ac:dyDescent="0.35">
      <c r="A43" s="8">
        <f t="shared" si="1"/>
        <v>59</v>
      </c>
      <c r="B43" s="20">
        <v>8.5746819108570623E-3</v>
      </c>
      <c r="C43" s="20">
        <v>1.6906652901863769E-2</v>
      </c>
      <c r="D43" s="18">
        <v>2.5712397838958245E-2</v>
      </c>
      <c r="E43" s="20">
        <v>3.5011328612483676E-2</v>
      </c>
      <c r="F43" s="20">
        <v>4.4799699818420573E-2</v>
      </c>
      <c r="G43" s="20">
        <v>5.508806112351973E-2</v>
      </c>
      <c r="H43" s="20">
        <v>6.5885855595683995E-2</v>
      </c>
      <c r="I43" s="20">
        <v>7.7190230388156214E-2</v>
      </c>
      <c r="J43" s="20">
        <v>8.8977712407745907E-2</v>
      </c>
      <c r="K43" s="20">
        <v>0.10121687910132832</v>
      </c>
      <c r="L43" s="20">
        <v>0.11388313745718236</v>
      </c>
      <c r="M43" s="20">
        <v>0.12695543484830318</v>
      </c>
      <c r="N43" s="20">
        <v>0.14041413233948949</v>
      </c>
      <c r="O43" s="20">
        <v>0.1542377424682021</v>
      </c>
      <c r="P43" s="20">
        <v>0.16840169433964797</v>
      </c>
    </row>
    <row r="44" spans="1:20" x14ac:dyDescent="0.35">
      <c r="A44" s="8">
        <f t="shared" si="1"/>
        <v>60</v>
      </c>
      <c r="B44" s="20">
        <v>9.2555257211723568E-3</v>
      </c>
      <c r="C44" s="20">
        <v>1.8286314926296562E-2</v>
      </c>
      <c r="D44" s="20">
        <v>2.7831989272494733E-2</v>
      </c>
      <c r="E44" s="20">
        <v>3.7884284811000299E-2</v>
      </c>
      <c r="F44" s="20">
        <v>4.8456637941226309E-2</v>
      </c>
      <c r="G44" s="20">
        <v>5.95600535787984E-2</v>
      </c>
      <c r="H44" s="20">
        <v>7.1191226819927622E-2</v>
      </c>
      <c r="I44" s="20">
        <v>8.3324327051921193E-2</v>
      </c>
      <c r="J44" s="20">
        <v>9.5926015287509131E-2</v>
      </c>
      <c r="K44" s="20">
        <v>0.10897142697640572</v>
      </c>
      <c r="L44" s="20">
        <v>0.12243978867514396</v>
      </c>
      <c r="M44" s="20">
        <v>0.13631183745186035</v>
      </c>
      <c r="N44" s="20">
        <v>0.15056620953614522</v>
      </c>
      <c r="O44" s="20">
        <v>0.16517814426965058</v>
      </c>
      <c r="P44" s="20">
        <v>0.18012066660535503</v>
      </c>
    </row>
    <row r="45" spans="1:20" x14ac:dyDescent="0.35">
      <c r="A45" s="8">
        <f t="shared" si="1"/>
        <v>61</v>
      </c>
      <c r="B45" s="20">
        <v>1.0075548707789383E-2</v>
      </c>
      <c r="C45" s="20">
        <v>1.9876441589583568E-2</v>
      </c>
      <c r="D45" s="20">
        <v>3.0198353225546423E-2</v>
      </c>
      <c r="E45" s="20">
        <v>4.1061408406025526E-2</v>
      </c>
      <c r="F45" s="20">
        <v>5.2478487771777306E-2</v>
      </c>
      <c r="G45" s="20">
        <v>6.4445338140157793E-2</v>
      </c>
      <c r="H45" s="20">
        <v>7.6933072687456042E-2</v>
      </c>
      <c r="I45" s="20">
        <v>8.9906248482323883E-2</v>
      </c>
      <c r="J45" s="20">
        <v>0.10334003859511774</v>
      </c>
      <c r="K45" s="20">
        <v>0.11721428606981699</v>
      </c>
      <c r="L45" s="20">
        <v>0.13151037213135219</v>
      </c>
      <c r="M45" s="20">
        <v>0.14620722320092339</v>
      </c>
      <c r="N45" s="20">
        <v>0.16127997993194954</v>
      </c>
      <c r="O45" s="20">
        <v>0.17670134657883346</v>
      </c>
      <c r="P45" s="20">
        <v>0.19244341824584596</v>
      </c>
    </row>
    <row r="46" spans="1:20" x14ac:dyDescent="0.35">
      <c r="A46" s="8">
        <f t="shared" si="1"/>
        <v>62</v>
      </c>
      <c r="B46" s="20">
        <v>1.0922643676351523E-2</v>
      </c>
      <c r="C46" s="20">
        <v>2.1516596607899029E-2</v>
      </c>
      <c r="D46" s="20">
        <v>3.2677653808386636E-2</v>
      </c>
      <c r="E46" s="20">
        <v>4.4418276229417415E-2</v>
      </c>
      <c r="F46" s="20">
        <v>5.673176037238907E-2</v>
      </c>
      <c r="G46" s="20">
        <v>6.9585025613256135E-2</v>
      </c>
      <c r="H46" s="20">
        <v>8.2940367897674283E-2</v>
      </c>
      <c r="I46" s="20">
        <v>9.677351182707479E-2</v>
      </c>
      <c r="J46" s="20">
        <v>0.11106538062923145</v>
      </c>
      <c r="K46" s="20">
        <v>0.12579832596330329</v>
      </c>
      <c r="L46" s="20">
        <v>0.14095174240477826</v>
      </c>
      <c r="M46" s="20">
        <v>0.15650075339989336</v>
      </c>
      <c r="N46" s="20">
        <v>0.17241778689637269</v>
      </c>
      <c r="O46" s="20">
        <v>0.18867457916787067</v>
      </c>
      <c r="P46" s="20">
        <v>0.20524302298078298</v>
      </c>
    </row>
    <row r="47" spans="1:20" x14ac:dyDescent="0.35">
      <c r="A47" s="8">
        <f t="shared" si="1"/>
        <v>63</v>
      </c>
      <c r="B47" s="20">
        <v>1.1795099920200719E-2</v>
      </c>
      <c r="C47" s="20">
        <v>2.3267671999206551E-2</v>
      </c>
      <c r="D47" s="20">
        <v>3.5345599140052426E-2</v>
      </c>
      <c r="E47" s="20">
        <v>4.8018825609312629E-2</v>
      </c>
      <c r="F47" s="20">
        <v>6.124928207135534E-2</v>
      </c>
      <c r="G47" s="20">
        <v>7.499745493148198E-2</v>
      </c>
      <c r="H47" s="20">
        <v>8.9240687892373854E-2</v>
      </c>
      <c r="I47" s="20">
        <v>0.10396171109941957</v>
      </c>
      <c r="J47" s="20">
        <v>0.11914427810683767</v>
      </c>
      <c r="K47" s="20">
        <v>0.13476845272671731</v>
      </c>
      <c r="L47" s="20">
        <v>0.15080941524359562</v>
      </c>
      <c r="M47" s="20">
        <v>0.16723935136629731</v>
      </c>
      <c r="N47" s="20">
        <v>0.18402967204740361</v>
      </c>
      <c r="O47" s="20">
        <v>0.20115190597718971</v>
      </c>
      <c r="P47" s="20">
        <v>0.21857595539395025</v>
      </c>
    </row>
    <row r="48" spans="1:20" x14ac:dyDescent="0.35">
      <c r="A48" s="8">
        <f t="shared" si="1"/>
        <v>64</v>
      </c>
      <c r="B48" s="20">
        <v>1.2819934493627269E-2</v>
      </c>
      <c r="C48" s="20">
        <v>2.5248129411259458E-2</v>
      </c>
      <c r="D48" s="20">
        <v>3.8292469994310935E-2</v>
      </c>
      <c r="E48" s="20">
        <v>5.1909188237394231E-2</v>
      </c>
      <c r="F48" s="20">
        <v>6.6058182522245185E-2</v>
      </c>
      <c r="G48" s="20">
        <v>8.0720053829202276E-2</v>
      </c>
      <c r="H48" s="20">
        <v>9.5880170245005017E-2</v>
      </c>
      <c r="I48" s="20">
        <v>0.11152406570567966</v>
      </c>
      <c r="J48" s="20">
        <v>0.12763257333518996</v>
      </c>
      <c r="K48" s="20">
        <v>0.1441809104324922</v>
      </c>
      <c r="L48" s="20">
        <v>0.16114098846267871</v>
      </c>
      <c r="M48" s="20">
        <v>0.17848388668221321</v>
      </c>
      <c r="N48" s="20">
        <v>0.19618078226189631</v>
      </c>
      <c r="O48" s="20">
        <v>0.21420101395004018</v>
      </c>
      <c r="P48" s="20">
        <v>0.23251228700530485</v>
      </c>
    </row>
    <row r="49" spans="1:16" x14ac:dyDescent="0.35">
      <c r="A49" s="8">
        <f t="shared" si="1"/>
        <v>65</v>
      </c>
      <c r="B49" s="20">
        <v>1.3874074643931127E-2</v>
      </c>
      <c r="C49" s="20">
        <v>2.7299920730496707E-2</v>
      </c>
      <c r="D49" s="20">
        <v>4.1310363500928357E-2</v>
      </c>
      <c r="E49" s="20">
        <v>5.5867381713490351E-2</v>
      </c>
      <c r="F49" s="20">
        <v>7.0957016968622749E-2</v>
      </c>
      <c r="G49" s="20">
        <v>8.6567889925740452E-2</v>
      </c>
      <c r="H49" s="20">
        <v>0.1026874116825205</v>
      </c>
      <c r="I49" s="20">
        <v>0.11929704306940021</v>
      </c>
      <c r="J49" s="20">
        <v>0.13637184700241037</v>
      </c>
      <c r="K49" s="20">
        <v>0.1538833246715722</v>
      </c>
      <c r="L49" s="20">
        <v>0.17180216082084881</v>
      </c>
      <c r="M49" s="20">
        <v>0.19009916349384084</v>
      </c>
      <c r="N49" s="20">
        <v>0.20874308209006442</v>
      </c>
      <c r="O49" s="20">
        <v>0.22770083899301199</v>
      </c>
      <c r="P49" s="20">
        <v>0.24694203816590807</v>
      </c>
    </row>
    <row r="52" spans="1:16" x14ac:dyDescent="0.35">
      <c r="A52" s="10">
        <f>E23*[1]TARIFICATION!D18</f>
        <v>109750.31750934677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TARIF PE</vt:lpstr>
      <vt:lpstr>TARIF TD</vt:lpstr>
      <vt:lpstr>TARIF 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Sié Alain KAMBIRE</dc:creator>
  <cp:lastModifiedBy>FOFANA CHAKA</cp:lastModifiedBy>
  <dcterms:created xsi:type="dcterms:W3CDTF">2025-03-24T13:50:58Z</dcterms:created>
  <dcterms:modified xsi:type="dcterms:W3CDTF">2025-11-21T18:17:03Z</dcterms:modified>
</cp:coreProperties>
</file>