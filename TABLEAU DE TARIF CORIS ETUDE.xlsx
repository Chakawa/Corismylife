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corisinvestgroup-my.sharepoint.com/personal/akambire_coris-assurances_com/Documents/Documents/DG CAV RCI 2025/Informations produits/"/>
    </mc:Choice>
  </mc:AlternateContent>
  <xr:revisionPtr revIDLastSave="18" documentId="8_{8B300FA5-A816-42DF-B2C3-D1FFF7BE32EA}" xr6:coauthVersionLast="47" xr6:coauthVersionMax="47" xr10:uidLastSave="{212C5A85-A6B1-4D96-B260-91EBF17A0D2C}"/>
  <bookViews>
    <workbookView xWindow="-108" yWindow="-108" windowWidth="23256" windowHeight="12576" xr2:uid="{17010093-2AE5-4CF2-A93C-02585DEE3D6C}"/>
  </bookViews>
  <sheets>
    <sheet name="TARIF A RENTE FIXEE" sheetId="1" r:id="rId1"/>
    <sheet name="TARIF A PRIME FIXEE" sheetId="2" r:id="rId2"/>
  </sheets>
  <definedNames>
    <definedName name="_xlnm.Print_Area" localSheetId="1">'TARIF A PRIME FIXEE'!$A$1:$R$47</definedName>
    <definedName name="_xlnm.Print_Area" localSheetId="0">'TARIF A RENTE FIXEE'!$A$1:$R$47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T11" i="2" l="1"/>
  <c r="T10" i="2"/>
  <c r="T9" i="2"/>
</calcChain>
</file>

<file path=xl/sharedStrings.xml><?xml version="1.0" encoding="utf-8"?>
<sst xmlns="http://schemas.openxmlformats.org/spreadsheetml/2006/main" count="6" uniqueCount="4">
  <si>
    <t>DUREE DU CONTRAT EN MOIS</t>
  </si>
  <si>
    <t>AGE DE L'ASSURE A LA SOUSCRIPTION</t>
  </si>
  <si>
    <t>VALEUR DE LA RENTE ANNUELLE POUR UNE PRIME MENSUELLE DE 1 000 F CFA</t>
  </si>
  <si>
    <t>VALEUR DE LA PRIME MENSUELLE POUR UNE RENTE ANNUELLE DE 10 000 F CFA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</si>
</sst>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mbria"/>
      <family val="1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sz val="10"/>
      <color theme="1"/>
      <name val="Cambria"/>
      <family val="1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0">
    <xf numFmtId="0" fontId="0" fillId="0" borderId="0" xfId="0"/>
    <xf numFmtId="0" fontId="3" fillId="0" borderId="0" xfId="0" applyFont="1"/>
    <xf numFmtId="0" fontId="4" fillId="2" borderId="1" xfId="0" applyFont="1" applyFill="1" applyBorder="1"/>
    <xf numFmtId="0" fontId="4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5" fillId="0" borderId="1" xfId="1" applyNumberFormat="1" applyFont="1" applyBorder="1" applyAlignment="1">
      <alignment horizontal="center" vertical="center"/>
    </xf>
    <xf numFmtId="164" fontId="5" fillId="0" borderId="1" xfId="1" applyNumberFormat="1" applyFont="1" applyBorder="1"/>
    <xf numFmtId="164" fontId="5" fillId="0" borderId="1" xfId="1" applyNumberFormat="1" applyFont="1" applyBorder="1" applyAlignment="1">
      <alignment horizontal="left"/>
    </xf>
    <xf numFmtId="0" fontId="4" fillId="2" borderId="3" xfId="0" applyFont="1" applyFill="1" applyBorder="1" applyAlignment="1">
      <alignment horizontal="center" vertical="center"/>
    </xf>
    <xf numFmtId="164" fontId="3" fillId="0" borderId="0" xfId="0" applyNumberFormat="1" applyFont="1"/>
    <xf numFmtId="164" fontId="5" fillId="0" borderId="1" xfId="1" applyNumberFormat="1" applyFont="1" applyFill="1" applyBorder="1"/>
    <xf numFmtId="0" fontId="4" fillId="2" borderId="1" xfId="0" applyFont="1" applyFill="1" applyBorder="1" applyAlignment="1">
      <alignment horizontal="center" vertical="center" textRotation="90"/>
    </xf>
    <xf numFmtId="0" fontId="4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2" fillId="0" borderId="0" xfId="0" applyFont="1" applyAlignment="1">
      <alignment horizontal="left" wrapText="1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164" fontId="3" fillId="0" borderId="0" xfId="1" applyNumberFormat="1" applyFont="1"/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EF0A6-6C5F-4F4F-98EE-FEF39DD97490}">
  <sheetPr codeName="Feuil1">
    <pageSetUpPr fitToPage="1"/>
  </sheetPr>
  <dimension ref="A1:R47"/>
  <sheetViews>
    <sheetView showGridLines="0" tabSelected="1" topLeftCell="B1" zoomScale="184" zoomScaleNormal="184" workbookViewId="0">
      <pane xSplit="8" ySplit="9" topLeftCell="J10" activePane="bottomRight" state="frozen"/>
      <selection activeCell="B1" sqref="B1"/>
      <selection pane="topRight" activeCell="J1" sqref="J1"/>
      <selection pane="bottomLeft" activeCell="B10" sqref="B10"/>
      <selection pane="bottomRight" activeCell="B27" sqref="A27:XFD27"/>
    </sheetView>
  </sheetViews>
  <sheetFormatPr baseColWidth="10" defaultColWidth="10.88671875" defaultRowHeight="13.8" x14ac:dyDescent="0.25"/>
  <cols>
    <col min="1" max="1" width="4" style="1" customWidth="1"/>
    <col min="2" max="2" width="6.33203125" style="3" customWidth="1"/>
    <col min="3" max="18" width="7.77734375" style="1" customWidth="1"/>
    <col min="19" max="16384" width="10.88671875" style="1"/>
  </cols>
  <sheetData>
    <row r="1" spans="1:18" ht="13.8" customHeight="1" x14ac:dyDescent="0.25">
      <c r="C1" s="14" t="s">
        <v>3</v>
      </c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</row>
    <row r="2" spans="1:18" ht="8.4" customHeight="1" x14ac:dyDescent="0.25"/>
    <row r="3" spans="1:18" x14ac:dyDescent="0.25">
      <c r="A3" s="5"/>
      <c r="B3" s="1"/>
      <c r="C3" s="13" t="s">
        <v>0</v>
      </c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s="5" customFormat="1" x14ac:dyDescent="0.3">
      <c r="C4" s="4">
        <v>60</v>
      </c>
      <c r="D4" s="4">
        <v>72</v>
      </c>
      <c r="E4" s="4">
        <v>84</v>
      </c>
      <c r="F4" s="4">
        <v>96</v>
      </c>
      <c r="G4" s="4">
        <v>108</v>
      </c>
      <c r="H4" s="4">
        <v>120</v>
      </c>
      <c r="I4" s="4">
        <v>132</v>
      </c>
      <c r="J4" s="4">
        <v>144</v>
      </c>
      <c r="K4" s="4">
        <v>156</v>
      </c>
      <c r="L4" s="4">
        <v>168</v>
      </c>
      <c r="M4" s="4">
        <v>180</v>
      </c>
      <c r="N4" s="4">
        <v>192</v>
      </c>
      <c r="O4" s="4">
        <v>204</v>
      </c>
      <c r="P4" s="4">
        <v>216</v>
      </c>
      <c r="Q4" s="4">
        <v>228</v>
      </c>
      <c r="R4" s="4">
        <v>240</v>
      </c>
    </row>
    <row r="5" spans="1:18" x14ac:dyDescent="0.25">
      <c r="A5" s="12" t="s">
        <v>1</v>
      </c>
      <c r="B5" s="4">
        <v>18</v>
      </c>
      <c r="C5" s="6">
        <v>754.14414448777461</v>
      </c>
      <c r="D5" s="6">
        <v>623.00430256011316</v>
      </c>
      <c r="E5" s="6">
        <v>529.56773602498583</v>
      </c>
      <c r="F5" s="6">
        <v>459.69354615492892</v>
      </c>
      <c r="G5" s="6">
        <v>405.52704686184558</v>
      </c>
      <c r="H5" s="6">
        <v>362.35554588727007</v>
      </c>
      <c r="I5" s="6">
        <v>327.17977791875381</v>
      </c>
      <c r="J5" s="6">
        <v>298.00047924497807</v>
      </c>
      <c r="K5" s="6">
        <v>273.43316339345643</v>
      </c>
      <c r="L5" s="6">
        <v>252.48867084484229</v>
      </c>
      <c r="M5" s="6">
        <v>234.44292894856903</v>
      </c>
      <c r="N5" s="6">
        <v>218.75364953184152</v>
      </c>
      <c r="O5" s="6">
        <v>205.00713872380607</v>
      </c>
      <c r="P5" s="6">
        <v>192.88096189799032</v>
      </c>
      <c r="Q5" s="6">
        <v>182.12120528470481</v>
      </c>
      <c r="R5" s="6">
        <v>172.52452900856392</v>
      </c>
    </row>
    <row r="6" spans="1:18" x14ac:dyDescent="0.25">
      <c r="A6" s="12"/>
      <c r="B6" s="9">
        <v>19</v>
      </c>
      <c r="C6" s="6">
        <v>754.44118015755896</v>
      </c>
      <c r="D6" s="6">
        <v>623.29408140442797</v>
      </c>
      <c r="E6" s="6">
        <v>529.85248130273112</v>
      </c>
      <c r="F6" s="6">
        <v>459.97640493201737</v>
      </c>
      <c r="G6" s="6">
        <v>405.81042625316985</v>
      </c>
      <c r="H6" s="6">
        <v>362.64090611718126</v>
      </c>
      <c r="I6" s="6">
        <v>327.46848842689963</v>
      </c>
      <c r="J6" s="6">
        <v>298.29317752229548</v>
      </c>
      <c r="K6" s="6">
        <v>273.73007852649278</v>
      </c>
      <c r="L6" s="6">
        <v>252.7914054507691</v>
      </c>
      <c r="M6" s="6">
        <v>234.75364166531983</v>
      </c>
      <c r="N6" s="6">
        <v>219.07523918086483</v>
      </c>
      <c r="O6" s="6">
        <v>205.34135533327728</v>
      </c>
      <c r="P6" s="6">
        <v>193.23000686373192</v>
      </c>
      <c r="Q6" s="6">
        <v>182.48677425042376</v>
      </c>
      <c r="R6" s="6">
        <v>172.90858920002236</v>
      </c>
    </row>
    <row r="7" spans="1:18" x14ac:dyDescent="0.25">
      <c r="A7" s="12"/>
      <c r="B7" s="9">
        <v>20</v>
      </c>
      <c r="C7" s="6">
        <v>754.62252504027151</v>
      </c>
      <c r="D7" s="6">
        <v>623.47572474666981</v>
      </c>
      <c r="E7" s="6">
        <v>530.03701809905692</v>
      </c>
      <c r="F7" s="6">
        <v>460.16575604862544</v>
      </c>
      <c r="G7" s="6">
        <v>406.00550415362994</v>
      </c>
      <c r="H7" s="6">
        <v>362.84261885251959</v>
      </c>
      <c r="I7" s="6">
        <v>327.67703979430468</v>
      </c>
      <c r="J7" s="6">
        <v>298.50839646925112</v>
      </c>
      <c r="K7" s="6">
        <v>273.95337571624077</v>
      </c>
      <c r="L7" s="6">
        <v>253.02487136557949</v>
      </c>
      <c r="M7" s="6">
        <v>235.00020240996776</v>
      </c>
      <c r="N7" s="6">
        <v>219.33659099797896</v>
      </c>
      <c r="O7" s="6">
        <v>205.61967715905797</v>
      </c>
      <c r="P7" s="6">
        <v>193.52694438381374</v>
      </c>
      <c r="Q7" s="6">
        <v>182.80426999638939</v>
      </c>
      <c r="R7" s="6">
        <v>173.24887104816401</v>
      </c>
    </row>
    <row r="8" spans="1:18" x14ac:dyDescent="0.25">
      <c r="A8" s="12"/>
      <c r="B8" s="9">
        <v>21</v>
      </c>
      <c r="C8" s="6">
        <v>754.74344459032682</v>
      </c>
      <c r="D8" s="6">
        <v>623.60363970309334</v>
      </c>
      <c r="E8" s="6">
        <v>530.17336266693644</v>
      </c>
      <c r="F8" s="6">
        <v>460.31087043915818</v>
      </c>
      <c r="G8" s="6">
        <v>406.15983973151708</v>
      </c>
      <c r="H8" s="6">
        <v>363.00596617232577</v>
      </c>
      <c r="I8" s="6">
        <v>327.84885168602005</v>
      </c>
      <c r="J8" s="6">
        <v>298.68994931335305</v>
      </c>
      <c r="K8" s="6">
        <v>274.14676710851609</v>
      </c>
      <c r="L8" s="6">
        <v>253.23313297660829</v>
      </c>
      <c r="M8" s="6">
        <v>235.22503210411352</v>
      </c>
      <c r="N8" s="6">
        <v>219.5801922066008</v>
      </c>
      <c r="O8" s="6">
        <v>205.88368243335285</v>
      </c>
      <c r="P8" s="6">
        <v>193.81330505023095</v>
      </c>
      <c r="Q8" s="6">
        <v>183.11524980164035</v>
      </c>
      <c r="R8" s="6">
        <v>173.5869081099452</v>
      </c>
    </row>
    <row r="9" spans="1:18" x14ac:dyDescent="0.25">
      <c r="A9" s="12"/>
      <c r="B9" s="9">
        <v>22</v>
      </c>
      <c r="C9" s="6">
        <v>754.83986282007447</v>
      </c>
      <c r="D9" s="6">
        <v>623.71194386156185</v>
      </c>
      <c r="E9" s="6">
        <v>530.29313578876736</v>
      </c>
      <c r="F9" s="6">
        <v>460.44202162889064</v>
      </c>
      <c r="G9" s="6">
        <v>406.30171517135972</v>
      </c>
      <c r="H9" s="6">
        <v>363.15763080521123</v>
      </c>
      <c r="I9" s="6">
        <v>328.01148847003685</v>
      </c>
      <c r="J9" s="6">
        <v>298.86573218563592</v>
      </c>
      <c r="K9" s="6">
        <v>274.33890758402151</v>
      </c>
      <c r="L9" s="6">
        <v>253.4433776392703</v>
      </c>
      <c r="M9" s="6">
        <v>235.45564594681306</v>
      </c>
      <c r="N9" s="6">
        <v>219.83282120174752</v>
      </c>
      <c r="O9" s="6">
        <v>206.16031056039927</v>
      </c>
      <c r="P9" s="6">
        <v>194.11625588365658</v>
      </c>
      <c r="Q9" s="6">
        <v>183.44703589276915</v>
      </c>
      <c r="R9" s="6">
        <v>173.95072307223751</v>
      </c>
    </row>
    <row r="10" spans="1:18" x14ac:dyDescent="0.25">
      <c r="A10" s="12"/>
      <c r="B10" s="9">
        <v>23</v>
      </c>
      <c r="C10" s="6">
        <v>754.94137455018745</v>
      </c>
      <c r="D10" s="6">
        <v>623.82687087914451</v>
      </c>
      <c r="E10" s="6">
        <v>530.42082668188186</v>
      </c>
      <c r="F10" s="6">
        <v>460.58141982519709</v>
      </c>
      <c r="G10" s="6">
        <v>406.45154143313408</v>
      </c>
      <c r="H10" s="6">
        <v>363.31907126064669</v>
      </c>
      <c r="I10" s="6">
        <v>328.18691468462771</v>
      </c>
      <c r="J10" s="6">
        <v>299.05865020169415</v>
      </c>
      <c r="K10" s="6">
        <v>274.55118436458059</v>
      </c>
      <c r="L10" s="6">
        <v>253.67739196908036</v>
      </c>
      <c r="M10" s="6">
        <v>235.71309353351384</v>
      </c>
      <c r="N10" s="6">
        <v>220.11574934923024</v>
      </c>
      <c r="O10" s="6">
        <v>206.47113213677915</v>
      </c>
      <c r="P10" s="6">
        <v>194.45758516462638</v>
      </c>
      <c r="Q10" s="6">
        <v>183.82221371748952</v>
      </c>
      <c r="R10" s="6">
        <v>174.36200993140002</v>
      </c>
    </row>
    <row r="11" spans="1:18" x14ac:dyDescent="0.25">
      <c r="A11" s="12"/>
      <c r="B11" s="9">
        <v>24</v>
      </c>
      <c r="C11" s="6">
        <v>755.05990442770542</v>
      </c>
      <c r="D11" s="6">
        <v>623.95910491373991</v>
      </c>
      <c r="E11" s="6">
        <v>530.56528852163274</v>
      </c>
      <c r="F11" s="6">
        <v>460.73648839496155</v>
      </c>
      <c r="G11" s="6">
        <v>406.61849122522921</v>
      </c>
      <c r="H11" s="6">
        <v>363.50059608108756</v>
      </c>
      <c r="I11" s="6">
        <v>328.38692899622788</v>
      </c>
      <c r="J11" s="6">
        <v>299.27920031560518</v>
      </c>
      <c r="K11" s="6">
        <v>274.79479745368252</v>
      </c>
      <c r="L11" s="6">
        <v>253.94583186289944</v>
      </c>
      <c r="M11" s="6">
        <v>236.00848505756878</v>
      </c>
      <c r="N11" s="6">
        <v>220.44061024839203</v>
      </c>
      <c r="O11" s="6">
        <v>206.82819371035521</v>
      </c>
      <c r="P11" s="6">
        <v>194.85035405263747</v>
      </c>
      <c r="Q11" s="6">
        <v>184.25303086171976</v>
      </c>
      <c r="R11" s="6">
        <v>174.83334244698548</v>
      </c>
    </row>
    <row r="12" spans="1:18" x14ac:dyDescent="0.25">
      <c r="A12" s="12"/>
      <c r="B12" s="9">
        <v>25</v>
      </c>
      <c r="C12" s="6">
        <v>755.19305290553882</v>
      </c>
      <c r="D12" s="6">
        <v>624.1053249531617</v>
      </c>
      <c r="E12" s="6">
        <v>530.72240729488772</v>
      </c>
      <c r="F12" s="6">
        <v>460.90584994550346</v>
      </c>
      <c r="G12" s="6">
        <v>406.80318648390397</v>
      </c>
      <c r="H12" s="6">
        <v>363.70502123562733</v>
      </c>
      <c r="I12" s="6">
        <v>328.61332209977485</v>
      </c>
      <c r="J12" s="6">
        <v>299.53022571458729</v>
      </c>
      <c r="K12" s="6">
        <v>275.07226588955103</v>
      </c>
      <c r="L12" s="6">
        <v>254.25192675387007</v>
      </c>
      <c r="M12" s="6">
        <v>236.3458182513217</v>
      </c>
      <c r="N12" s="6">
        <v>220.8120238442952</v>
      </c>
      <c r="O12" s="6">
        <v>207.23736145249234</v>
      </c>
      <c r="P12" s="6">
        <v>195.29968997749776</v>
      </c>
      <c r="Q12" s="6">
        <v>184.7450687329891</v>
      </c>
      <c r="R12" s="6">
        <v>175.37014087860743</v>
      </c>
    </row>
    <row r="13" spans="1:18" x14ac:dyDescent="0.25">
      <c r="A13" s="12"/>
      <c r="B13" s="9">
        <v>26</v>
      </c>
      <c r="C13" s="6">
        <v>755.34347505716801</v>
      </c>
      <c r="D13" s="6">
        <v>624.26647417206664</v>
      </c>
      <c r="E13" s="6">
        <v>530.89583250817338</v>
      </c>
      <c r="F13" s="6">
        <v>461.09526176167128</v>
      </c>
      <c r="G13" s="6">
        <v>407.01363149938339</v>
      </c>
      <c r="H13" s="6">
        <v>363.93898818012462</v>
      </c>
      <c r="I13" s="6">
        <v>328.87362255543229</v>
      </c>
      <c r="J13" s="6">
        <v>299.81870975348727</v>
      </c>
      <c r="K13" s="6">
        <v>275.39116678419555</v>
      </c>
      <c r="L13" s="6">
        <v>254.60394984565355</v>
      </c>
      <c r="M13" s="6">
        <v>236.73391962685864</v>
      </c>
      <c r="N13" s="6">
        <v>221.24005488832904</v>
      </c>
      <c r="O13" s="6">
        <v>207.70780833340649</v>
      </c>
      <c r="P13" s="6">
        <v>195.81514935072514</v>
      </c>
      <c r="Q13" s="6">
        <v>185.3076253525868</v>
      </c>
      <c r="R13" s="6">
        <v>175.98166781210077</v>
      </c>
    </row>
    <row r="14" spans="1:18" x14ac:dyDescent="0.25">
      <c r="A14" s="12"/>
      <c r="B14" s="9">
        <v>27</v>
      </c>
      <c r="C14" s="6">
        <v>755.49560279906973</v>
      </c>
      <c r="D14" s="6">
        <v>624.43199032130951</v>
      </c>
      <c r="E14" s="6">
        <v>531.07902803445938</v>
      </c>
      <c r="F14" s="6">
        <v>461.30180289025844</v>
      </c>
      <c r="G14" s="6">
        <v>407.24613864679344</v>
      </c>
      <c r="H14" s="6">
        <v>364.20027896681353</v>
      </c>
      <c r="I14" s="6">
        <v>329.16546336157757</v>
      </c>
      <c r="J14" s="6">
        <v>300.14328633075024</v>
      </c>
      <c r="K14" s="6">
        <v>275.75121128895665</v>
      </c>
      <c r="L14" s="6">
        <v>255.00248465768985</v>
      </c>
      <c r="M14" s="6">
        <v>237.17494505284711</v>
      </c>
      <c r="N14" s="6">
        <v>221.72609440607917</v>
      </c>
      <c r="O14" s="6">
        <v>208.24148871394991</v>
      </c>
      <c r="P14" s="6">
        <v>196.39854983548355</v>
      </c>
      <c r="Q14" s="6">
        <v>185.94260132393595</v>
      </c>
      <c r="R14" s="6">
        <v>176.66914426879319</v>
      </c>
    </row>
    <row r="15" spans="1:18" x14ac:dyDescent="0.25">
      <c r="A15" s="12"/>
      <c r="B15" s="9">
        <v>28</v>
      </c>
      <c r="C15" s="6">
        <v>755.65006447905694</v>
      </c>
      <c r="D15" s="6">
        <v>624.60677905490388</v>
      </c>
      <c r="E15" s="6">
        <v>531.2804140648675</v>
      </c>
      <c r="F15" s="6">
        <v>461.53239161724895</v>
      </c>
      <c r="G15" s="6">
        <v>407.50857371428049</v>
      </c>
      <c r="H15" s="6">
        <v>364.49610248194506</v>
      </c>
      <c r="I15" s="6">
        <v>329.49671085685395</v>
      </c>
      <c r="J15" s="6">
        <v>300.51265620994934</v>
      </c>
      <c r="K15" s="6">
        <v>276.16175528908877</v>
      </c>
      <c r="L15" s="6">
        <v>255.45833672762103</v>
      </c>
      <c r="M15" s="6">
        <v>237.6786416589959</v>
      </c>
      <c r="N15" s="6">
        <v>222.28026825775297</v>
      </c>
      <c r="O15" s="6">
        <v>208.84818948306602</v>
      </c>
      <c r="P15" s="6">
        <v>197.05959324658556</v>
      </c>
      <c r="Q15" s="6">
        <v>186.65881566089874</v>
      </c>
      <c r="R15" s="6">
        <v>177.44052224284394</v>
      </c>
    </row>
    <row r="16" spans="1:18" x14ac:dyDescent="0.25">
      <c r="A16" s="12"/>
      <c r="B16" s="9">
        <v>29</v>
      </c>
      <c r="C16" s="6">
        <v>755.81874225214085</v>
      </c>
      <c r="D16" s="6">
        <v>624.80633707126401</v>
      </c>
      <c r="E16" s="6">
        <v>531.51321080879802</v>
      </c>
      <c r="F16" s="6">
        <v>461.80062697028063</v>
      </c>
      <c r="G16" s="6">
        <v>407.81338598218537</v>
      </c>
      <c r="H16" s="6">
        <v>364.83925907519978</v>
      </c>
      <c r="I16" s="6">
        <v>329.88081985005954</v>
      </c>
      <c r="J16" s="6">
        <v>300.9407728168789</v>
      </c>
      <c r="K16" s="6">
        <v>276.63814630304125</v>
      </c>
      <c r="L16" s="6">
        <v>255.98553778401882</v>
      </c>
      <c r="M16" s="6">
        <v>238.25927495371627</v>
      </c>
      <c r="N16" s="6">
        <v>222.916336375318</v>
      </c>
      <c r="O16" s="6">
        <v>209.54145231370336</v>
      </c>
      <c r="P16" s="6">
        <v>197.810762483594</v>
      </c>
      <c r="Q16" s="6">
        <v>187.4677185492699</v>
      </c>
      <c r="R16" s="6">
        <v>178.30658577563216</v>
      </c>
    </row>
    <row r="17" spans="1:18" x14ac:dyDescent="0.25">
      <c r="A17" s="12"/>
      <c r="B17" s="9">
        <v>30</v>
      </c>
      <c r="C17" s="6">
        <v>756.01218145699909</v>
      </c>
      <c r="D17" s="6">
        <v>625.03913070002136</v>
      </c>
      <c r="E17" s="6">
        <v>531.78632619003349</v>
      </c>
      <c r="F17" s="6">
        <v>462.11434496747307</v>
      </c>
      <c r="G17" s="6">
        <v>408.16892720635525</v>
      </c>
      <c r="H17" s="6">
        <v>365.2389960727682</v>
      </c>
      <c r="I17" s="6">
        <v>330.3277321523027</v>
      </c>
      <c r="J17" s="6">
        <v>301.43922651149711</v>
      </c>
      <c r="K17" s="6">
        <v>277.19063524801237</v>
      </c>
      <c r="L17" s="6">
        <v>256.59463398334492</v>
      </c>
      <c r="M17" s="6">
        <v>238.92689767468249</v>
      </c>
      <c r="N17" s="6">
        <v>223.64415840099767</v>
      </c>
      <c r="O17" s="6">
        <v>210.33003581133798</v>
      </c>
      <c r="P17" s="6">
        <v>198.65973496415242</v>
      </c>
      <c r="Q17" s="6">
        <v>188.3763011458463</v>
      </c>
      <c r="R17" s="6">
        <v>179.27396283092807</v>
      </c>
    </row>
    <row r="18" spans="1:18" x14ac:dyDescent="0.25">
      <c r="A18" s="12"/>
      <c r="B18" s="9">
        <v>31</v>
      </c>
      <c r="C18" s="6">
        <v>756.25634257201295</v>
      </c>
      <c r="D18" s="6">
        <v>625.32902090691789</v>
      </c>
      <c r="E18" s="6">
        <v>532.12088689320046</v>
      </c>
      <c r="F18" s="6">
        <v>462.49403485488875</v>
      </c>
      <c r="G18" s="6">
        <v>408.59584020495396</v>
      </c>
      <c r="H18" s="6">
        <v>365.71605525799617</v>
      </c>
      <c r="I18" s="6">
        <v>330.85945611271046</v>
      </c>
      <c r="J18" s="6">
        <v>302.02809197841196</v>
      </c>
      <c r="K18" s="6">
        <v>277.83917370239539</v>
      </c>
      <c r="L18" s="6">
        <v>257.30468522966311</v>
      </c>
      <c r="M18" s="6">
        <v>239.70004932424138</v>
      </c>
      <c r="N18" s="6">
        <v>224.48081714346799</v>
      </c>
      <c r="O18" s="6">
        <v>211.22961711503035</v>
      </c>
      <c r="P18" s="6">
        <v>199.62124229228471</v>
      </c>
      <c r="Q18" s="6">
        <v>189.39873009986687</v>
      </c>
      <c r="R18" s="6">
        <v>180.35629478463389</v>
      </c>
    </row>
    <row r="19" spans="1:18" x14ac:dyDescent="0.25">
      <c r="A19" s="12"/>
      <c r="B19" s="9">
        <v>32</v>
      </c>
      <c r="C19" s="6">
        <v>756.58344978466266</v>
      </c>
      <c r="D19" s="6">
        <v>625.70343903506478</v>
      </c>
      <c r="E19" s="6">
        <v>532.54240880455234</v>
      </c>
      <c r="F19" s="6">
        <v>462.96471025295335</v>
      </c>
      <c r="G19" s="6">
        <v>409.1187659229347</v>
      </c>
      <c r="H19" s="6">
        <v>366.2961134128505</v>
      </c>
      <c r="I19" s="6">
        <v>331.49923865402832</v>
      </c>
      <c r="J19" s="6">
        <v>302.73017252741545</v>
      </c>
      <c r="K19" s="6">
        <v>278.60537088054934</v>
      </c>
      <c r="L19" s="6">
        <v>258.13654511676901</v>
      </c>
      <c r="M19" s="6">
        <v>240.59784878205139</v>
      </c>
      <c r="N19" s="6">
        <v>225.44377127325305</v>
      </c>
      <c r="O19" s="6">
        <v>212.25651945835838</v>
      </c>
      <c r="P19" s="6">
        <v>200.71090978721446</v>
      </c>
      <c r="Q19" s="6">
        <v>190.5499964113323</v>
      </c>
      <c r="R19" s="6">
        <v>181.56894823949571</v>
      </c>
    </row>
    <row r="20" spans="1:18" x14ac:dyDescent="0.25">
      <c r="A20" s="12"/>
      <c r="B20" s="9">
        <v>33</v>
      </c>
      <c r="C20" s="6">
        <v>756.98516161341331</v>
      </c>
      <c r="D20" s="6">
        <v>626.15492257441849</v>
      </c>
      <c r="E20" s="6">
        <v>533.04548778755486</v>
      </c>
      <c r="F20" s="6">
        <v>463.52260936911728</v>
      </c>
      <c r="G20" s="6">
        <v>409.73673869666766</v>
      </c>
      <c r="H20" s="6">
        <v>366.97682762078068</v>
      </c>
      <c r="I20" s="6">
        <v>332.24524402734198</v>
      </c>
      <c r="J20" s="6">
        <v>303.5432042593211</v>
      </c>
      <c r="K20" s="6">
        <v>279.48687858698128</v>
      </c>
      <c r="L20" s="6">
        <v>259.08661883685136</v>
      </c>
      <c r="M20" s="6">
        <v>241.61544456415231</v>
      </c>
      <c r="N20" s="6">
        <v>226.52742166252582</v>
      </c>
      <c r="O20" s="6">
        <v>213.40482437564856</v>
      </c>
      <c r="P20" s="6">
        <v>201.92252779647643</v>
      </c>
      <c r="Q20" s="6">
        <v>191.82464468868162</v>
      </c>
      <c r="R20" s="6">
        <v>182.9066219195233</v>
      </c>
    </row>
    <row r="21" spans="1:18" x14ac:dyDescent="0.25">
      <c r="A21" s="12"/>
      <c r="B21" s="9">
        <v>34</v>
      </c>
      <c r="C21" s="6">
        <v>757.45235383664635</v>
      </c>
      <c r="D21" s="6">
        <v>626.67730558949722</v>
      </c>
      <c r="E21" s="6">
        <v>533.62619612616049</v>
      </c>
      <c r="F21" s="6">
        <v>464.16717602412496</v>
      </c>
      <c r="G21" s="6">
        <v>410.44778282217828</v>
      </c>
      <c r="H21" s="6">
        <v>367.75673036069844</v>
      </c>
      <c r="I21" s="6">
        <v>333.09553829976005</v>
      </c>
      <c r="J21" s="6">
        <v>304.46514684105853</v>
      </c>
      <c r="K21" s="6">
        <v>280.48028350464574</v>
      </c>
      <c r="L21" s="6">
        <v>260.15009826293073</v>
      </c>
      <c r="M21" s="6">
        <v>242.74719950321392</v>
      </c>
      <c r="N21" s="6">
        <v>227.72578357464599</v>
      </c>
      <c r="O21" s="6">
        <v>214.66824094265948</v>
      </c>
      <c r="P21" s="6">
        <v>203.25062862181446</v>
      </c>
      <c r="Q21" s="6">
        <v>193.21739362356018</v>
      </c>
      <c r="R21" s="6">
        <v>184.36413347657106</v>
      </c>
    </row>
    <row r="22" spans="1:18" x14ac:dyDescent="0.25">
      <c r="A22" s="12"/>
      <c r="B22" s="9">
        <v>35</v>
      </c>
      <c r="C22" s="6">
        <v>757.96164852668392</v>
      </c>
      <c r="D22" s="6">
        <v>627.2523289253669</v>
      </c>
      <c r="E22" s="6">
        <v>534.27179954897076</v>
      </c>
      <c r="F22" s="6">
        <v>464.88524382923271</v>
      </c>
      <c r="G22" s="6">
        <v>411.23998322236332</v>
      </c>
      <c r="H22" s="6">
        <v>368.6240036619331</v>
      </c>
      <c r="I22" s="6">
        <v>334.03866018796822</v>
      </c>
      <c r="J22" s="6">
        <v>305.4834247020022</v>
      </c>
      <c r="K22" s="6">
        <v>281.57179259109779</v>
      </c>
      <c r="L22" s="6">
        <v>261.31255558911317</v>
      </c>
      <c r="M22" s="6">
        <v>243.97855550018843</v>
      </c>
      <c r="N22" s="6">
        <v>229.02419319244544</v>
      </c>
      <c r="O22" s="6">
        <v>216.0331957196293</v>
      </c>
      <c r="P22" s="6">
        <v>204.68202897697245</v>
      </c>
      <c r="Q22" s="6">
        <v>194.71532769283573</v>
      </c>
      <c r="R22" s="6">
        <v>185.92924578144758</v>
      </c>
    </row>
    <row r="23" spans="1:18" x14ac:dyDescent="0.25">
      <c r="A23" s="12"/>
      <c r="B23" s="9">
        <v>36</v>
      </c>
      <c r="C23" s="6">
        <v>758.5422891179029</v>
      </c>
      <c r="D23" s="6">
        <v>627.911026385127</v>
      </c>
      <c r="E23" s="6">
        <v>535.00930374876089</v>
      </c>
      <c r="F23" s="6">
        <v>465.70219197104495</v>
      </c>
      <c r="G23" s="6">
        <v>412.13655134816588</v>
      </c>
      <c r="H23" s="6">
        <v>369.60038961562532</v>
      </c>
      <c r="I23" s="6">
        <v>335.09359536043041</v>
      </c>
      <c r="J23" s="6">
        <v>306.61438740603802</v>
      </c>
      <c r="K23" s="6">
        <v>282.77597738991756</v>
      </c>
      <c r="L23" s="6">
        <v>262.58751973308944</v>
      </c>
      <c r="M23" s="6">
        <v>245.32216777924543</v>
      </c>
      <c r="N23" s="6">
        <v>230.43583566264206</v>
      </c>
      <c r="O23" s="6">
        <v>217.51274291001346</v>
      </c>
      <c r="P23" s="6">
        <v>206.22958054175527</v>
      </c>
      <c r="Q23" s="6">
        <v>196.33159216996714</v>
      </c>
      <c r="R23" s="6">
        <v>187.61471379152596</v>
      </c>
    </row>
    <row r="24" spans="1:18" x14ac:dyDescent="0.25">
      <c r="A24" s="12"/>
      <c r="B24" s="9">
        <v>37</v>
      </c>
      <c r="C24" s="6">
        <v>759.19811730358401</v>
      </c>
      <c r="D24" s="6">
        <v>628.65525973020772</v>
      </c>
      <c r="E24" s="6">
        <v>535.84025560001965</v>
      </c>
      <c r="F24" s="6">
        <v>466.61855246169227</v>
      </c>
      <c r="G24" s="6">
        <v>413.13749973777959</v>
      </c>
      <c r="H24" s="6">
        <v>370.68377969342242</v>
      </c>
      <c r="I24" s="6">
        <v>336.25607974595783</v>
      </c>
      <c r="J24" s="6">
        <v>307.8524776595637</v>
      </c>
      <c r="K24" s="6">
        <v>284.08673786468211</v>
      </c>
      <c r="L24" s="6">
        <v>263.96847532665532</v>
      </c>
      <c r="M24" s="6">
        <v>246.77257275081757</v>
      </c>
      <c r="N24" s="6">
        <v>231.95554020451888</v>
      </c>
      <c r="O24" s="6">
        <v>219.10186632512068</v>
      </c>
      <c r="P24" s="6">
        <v>207.88890925628763</v>
      </c>
      <c r="Q24" s="6">
        <v>198.06168497393642</v>
      </c>
      <c r="R24" s="6">
        <v>189.41614684896206</v>
      </c>
    </row>
    <row r="25" spans="1:18" x14ac:dyDescent="0.25">
      <c r="A25" s="12"/>
      <c r="B25" s="9">
        <v>38</v>
      </c>
      <c r="C25" s="6">
        <v>759.95624817035082</v>
      </c>
      <c r="D25" s="6">
        <v>629.50835179102364</v>
      </c>
      <c r="E25" s="6">
        <v>536.78471475145295</v>
      </c>
      <c r="F25" s="6">
        <v>467.65217491782039</v>
      </c>
      <c r="G25" s="6">
        <v>414.25706972416066</v>
      </c>
      <c r="H25" s="6">
        <v>371.88499691840343</v>
      </c>
      <c r="I25" s="6">
        <v>337.53470743716417</v>
      </c>
      <c r="J25" s="6">
        <v>309.20507728175954</v>
      </c>
      <c r="K25" s="6">
        <v>285.51051384321414</v>
      </c>
      <c r="L25" s="6">
        <v>265.46260940540452</v>
      </c>
      <c r="M25" s="6">
        <v>248.33695665384852</v>
      </c>
      <c r="N25" s="6">
        <v>233.59037492916556</v>
      </c>
      <c r="O25" s="6">
        <v>220.8080755699111</v>
      </c>
      <c r="P25" s="6">
        <v>209.66716985186943</v>
      </c>
      <c r="Q25" s="6">
        <v>199.91268208894522</v>
      </c>
      <c r="R25" s="6">
        <v>191.34578378503085</v>
      </c>
    </row>
    <row r="26" spans="1:18" x14ac:dyDescent="0.25">
      <c r="A26" s="12"/>
      <c r="B26" s="9">
        <v>39</v>
      </c>
      <c r="C26" s="6">
        <v>760.82476159141584</v>
      </c>
      <c r="D26" s="6">
        <v>630.4755767418975</v>
      </c>
      <c r="E26" s="6">
        <v>537.8462010326582</v>
      </c>
      <c r="F26" s="6">
        <v>468.80320156616114</v>
      </c>
      <c r="G26" s="6">
        <v>415.49210925536948</v>
      </c>
      <c r="H26" s="6">
        <v>373.19891241053489</v>
      </c>
      <c r="I26" s="6">
        <v>338.92350021140163</v>
      </c>
      <c r="J26" s="6">
        <v>310.66562832052074</v>
      </c>
      <c r="K26" s="6">
        <v>287.04197460760048</v>
      </c>
      <c r="L26" s="6">
        <v>267.06497153722887</v>
      </c>
      <c r="M26" s="6">
        <v>250.01055751707145</v>
      </c>
      <c r="N26" s="6">
        <v>235.33632759296927</v>
      </c>
      <c r="O26" s="6">
        <v>222.62721657206541</v>
      </c>
      <c r="P26" s="6">
        <v>211.56032625475945</v>
      </c>
      <c r="Q26" s="6">
        <v>201.88628087031026</v>
      </c>
      <c r="R26" s="6">
        <v>193.40617922644483</v>
      </c>
    </row>
    <row r="27" spans="1:18" x14ac:dyDescent="0.25">
      <c r="A27" s="12"/>
      <c r="B27" s="9">
        <v>40</v>
      </c>
      <c r="C27" s="6">
        <v>761.80024024294812</v>
      </c>
      <c r="D27" s="6">
        <v>631.55203280100955</v>
      </c>
      <c r="E27" s="6">
        <v>539.01648878248966</v>
      </c>
      <c r="F27" s="6">
        <v>470.06003873485241</v>
      </c>
      <c r="G27" s="6">
        <v>416.82917614405682</v>
      </c>
      <c r="H27" s="6">
        <v>374.61153121448757</v>
      </c>
      <c r="I27" s="6">
        <v>340.40819677648068</v>
      </c>
      <c r="J27" s="6">
        <v>312.22155580418115</v>
      </c>
      <c r="K27" s="6">
        <v>288.66927959808908</v>
      </c>
      <c r="L27" s="6">
        <v>268.76417819404156</v>
      </c>
      <c r="M27" s="6">
        <v>251.78301547333152</v>
      </c>
      <c r="N27" s="6">
        <v>237.18306822523323</v>
      </c>
      <c r="O27" s="6">
        <v>224.54923398892126</v>
      </c>
      <c r="P27" s="6">
        <v>213.56463644781303</v>
      </c>
      <c r="Q27" s="6">
        <v>203.97983293917542</v>
      </c>
      <c r="R27" s="6">
        <v>195.59952873882156</v>
      </c>
    </row>
    <row r="28" spans="1:18" x14ac:dyDescent="0.25">
      <c r="A28" s="12"/>
      <c r="B28" s="9">
        <v>41</v>
      </c>
      <c r="C28" s="6">
        <v>762.87390437356703</v>
      </c>
      <c r="D28" s="6">
        <v>632.72542008785672</v>
      </c>
      <c r="E28" s="6">
        <v>540.27956123926845</v>
      </c>
      <c r="F28" s="6">
        <v>471.40480116417723</v>
      </c>
      <c r="G28" s="6">
        <v>418.25006922612124</v>
      </c>
      <c r="H28" s="6">
        <v>376.10466354910409</v>
      </c>
      <c r="I28" s="6">
        <v>341.97275009009593</v>
      </c>
      <c r="J28" s="6">
        <v>313.85788956329964</v>
      </c>
      <c r="K28" s="6">
        <v>290.3781550493747</v>
      </c>
      <c r="L28" s="6">
        <v>270.54722650348725</v>
      </c>
      <c r="M28" s="6">
        <v>253.64149302788283</v>
      </c>
      <c r="N28" s="6">
        <v>239.11815442168455</v>
      </c>
      <c r="O28" s="6">
        <v>226.56860005298432</v>
      </c>
      <c r="P28" s="6">
        <v>215.67589321665662</v>
      </c>
      <c r="Q28" s="6">
        <v>206.19441466117038</v>
      </c>
      <c r="R28" s="6">
        <v>197.92506754741228</v>
      </c>
    </row>
    <row r="29" spans="1:18" x14ac:dyDescent="0.25">
      <c r="A29" s="12"/>
      <c r="B29" s="9">
        <v>42</v>
      </c>
      <c r="C29" s="6">
        <v>764.00204337281161</v>
      </c>
      <c r="D29" s="6">
        <v>633.95111061443004</v>
      </c>
      <c r="E29" s="6">
        <v>541.59125495699482</v>
      </c>
      <c r="F29" s="6">
        <v>472.7950969173491</v>
      </c>
      <c r="G29" s="6">
        <v>419.71413779218818</v>
      </c>
      <c r="H29" s="6">
        <v>377.641445490237</v>
      </c>
      <c r="I29" s="6">
        <v>343.58266877750515</v>
      </c>
      <c r="J29" s="6">
        <v>315.54183380183696</v>
      </c>
      <c r="K29" s="6">
        <v>292.13795583320234</v>
      </c>
      <c r="L29" s="6">
        <v>272.38429134609362</v>
      </c>
      <c r="M29" s="6">
        <v>255.5571176570875</v>
      </c>
      <c r="N29" s="6">
        <v>241.12066880909885</v>
      </c>
      <c r="O29" s="6">
        <v>228.66629357308739</v>
      </c>
      <c r="P29" s="6">
        <v>217.88111842031086</v>
      </c>
      <c r="Q29" s="6">
        <v>208.51538875049366</v>
      </c>
      <c r="R29" s="6">
        <v>200.37361318259548</v>
      </c>
    </row>
    <row r="30" spans="1:18" x14ac:dyDescent="0.25">
      <c r="A30" s="12"/>
      <c r="B30" s="9">
        <v>43</v>
      </c>
      <c r="C30" s="6">
        <v>765.18830818828735</v>
      </c>
      <c r="D30" s="6">
        <v>635.22844348849515</v>
      </c>
      <c r="E30" s="6">
        <v>542.94959485415427</v>
      </c>
      <c r="F30" s="6">
        <v>474.22844031595491</v>
      </c>
      <c r="G30" s="6">
        <v>421.22119870712743</v>
      </c>
      <c r="H30" s="6">
        <v>379.22280685404644</v>
      </c>
      <c r="I30" s="6">
        <v>345.2394273971413</v>
      </c>
      <c r="J30" s="6">
        <v>317.27608836207656</v>
      </c>
      <c r="K30" s="6">
        <v>293.95130886022537</v>
      </c>
      <c r="L30" s="6">
        <v>274.27817949841938</v>
      </c>
      <c r="M30" s="6">
        <v>257.54062299361163</v>
      </c>
      <c r="N30" s="6">
        <v>243.20285502013067</v>
      </c>
      <c r="O30" s="6">
        <v>230.86054052027544</v>
      </c>
      <c r="P30" s="6">
        <v>220.19628632911986</v>
      </c>
      <c r="Q30" s="6">
        <v>210.96411291632603</v>
      </c>
      <c r="R30" s="6">
        <v>202.96469999765799</v>
      </c>
    </row>
    <row r="31" spans="1:18" x14ac:dyDescent="0.25">
      <c r="A31" s="12"/>
      <c r="B31" s="9">
        <v>44</v>
      </c>
      <c r="C31" s="6">
        <v>766.40319237561937</v>
      </c>
      <c r="D31" s="6">
        <v>636.52937750231831</v>
      </c>
      <c r="E31" s="6">
        <v>544.32834408884707</v>
      </c>
      <c r="F31" s="6">
        <v>475.68307266593797</v>
      </c>
      <c r="G31" s="6">
        <v>422.75228552446856</v>
      </c>
      <c r="H31" s="6">
        <v>380.83153200521991</v>
      </c>
      <c r="I31" s="6">
        <v>346.92806801335217</v>
      </c>
      <c r="J31" s="6">
        <v>319.04635859328545</v>
      </c>
      <c r="K31" s="6">
        <v>295.80470515231599</v>
      </c>
      <c r="L31" s="6">
        <v>276.22455926119221</v>
      </c>
      <c r="M31" s="6">
        <v>259.58986726651261</v>
      </c>
      <c r="N31" s="6">
        <v>245.36943801738474</v>
      </c>
      <c r="O31" s="6">
        <v>233.15397969158579</v>
      </c>
      <c r="P31" s="6">
        <v>222.63005206507214</v>
      </c>
      <c r="Q31" s="6">
        <v>213.54752050857101</v>
      </c>
      <c r="R31" s="6">
        <v>205.70504669900211</v>
      </c>
    </row>
    <row r="32" spans="1:18" x14ac:dyDescent="0.25">
      <c r="A32" s="12"/>
      <c r="B32" s="9">
        <v>45</v>
      </c>
      <c r="C32" s="6">
        <v>767.62545158687578</v>
      </c>
      <c r="D32" s="6">
        <v>637.83477739166972</v>
      </c>
      <c r="E32" s="6">
        <v>545.71346709573515</v>
      </c>
      <c r="F32" s="6">
        <v>477.1481407103289</v>
      </c>
      <c r="G32" s="6">
        <v>424.29834381986967</v>
      </c>
      <c r="H32" s="6">
        <v>382.46087657439551</v>
      </c>
      <c r="I32" s="6">
        <v>348.6423901841718</v>
      </c>
      <c r="J32" s="6">
        <v>320.84709347321939</v>
      </c>
      <c r="K32" s="6">
        <v>297.70250167216653</v>
      </c>
      <c r="L32" s="6">
        <v>278.2301630531212</v>
      </c>
      <c r="M32" s="6">
        <v>261.71892114761926</v>
      </c>
      <c r="N32" s="6">
        <v>247.63212774775931</v>
      </c>
      <c r="O32" s="6">
        <v>235.56462974429311</v>
      </c>
      <c r="P32" s="6">
        <v>225.19846930895037</v>
      </c>
      <c r="Q32" s="6">
        <v>216.28126588038296</v>
      </c>
      <c r="R32" s="6">
        <v>208.61545306457907</v>
      </c>
    </row>
    <row r="33" spans="1:18" x14ac:dyDescent="0.25">
      <c r="A33" s="12"/>
      <c r="B33" s="9">
        <v>46</v>
      </c>
      <c r="C33" s="6">
        <v>768.82504190166696</v>
      </c>
      <c r="D33" s="6">
        <v>639.12253518279476</v>
      </c>
      <c r="E33" s="6">
        <v>547.08798776850801</v>
      </c>
      <c r="F33" s="6">
        <v>478.6095351261971</v>
      </c>
      <c r="G33" s="6">
        <v>425.84839689822297</v>
      </c>
      <c r="H33" s="6">
        <v>384.1008679224679</v>
      </c>
      <c r="I33" s="6">
        <v>350.37338756162802</v>
      </c>
      <c r="J33" s="6">
        <v>322.68044857984222</v>
      </c>
      <c r="K33" s="6">
        <v>299.64980629655457</v>
      </c>
      <c r="L33" s="6">
        <v>280.30825520335594</v>
      </c>
      <c r="M33" s="6">
        <v>263.93861612160339</v>
      </c>
      <c r="N33" s="6">
        <v>250.00858043808543</v>
      </c>
      <c r="O33" s="6">
        <v>238.10808044722629</v>
      </c>
      <c r="P33" s="6">
        <v>227.91665938121861</v>
      </c>
      <c r="Q33" s="6">
        <v>219.18598557890235</v>
      </c>
      <c r="R33" s="6">
        <v>211.71446773178519</v>
      </c>
    </row>
    <row r="34" spans="1:18" x14ac:dyDescent="0.25">
      <c r="A34" s="12"/>
      <c r="B34" s="9">
        <v>47</v>
      </c>
      <c r="C34" s="6">
        <v>770.00504075863023</v>
      </c>
      <c r="D34" s="6">
        <v>640.40021816528497</v>
      </c>
      <c r="E34" s="6">
        <v>548.46115101258169</v>
      </c>
      <c r="F34" s="6">
        <v>480.07865388231227</v>
      </c>
      <c r="G34" s="6">
        <v>427.4138252067857</v>
      </c>
      <c r="H34" s="6">
        <v>385.76293890537789</v>
      </c>
      <c r="I34" s="6">
        <v>352.14408505224731</v>
      </c>
      <c r="J34" s="6">
        <v>324.57223770465208</v>
      </c>
      <c r="K34" s="6">
        <v>301.68079131576343</v>
      </c>
      <c r="L34" s="6">
        <v>282.48986592642939</v>
      </c>
      <c r="M34" s="6">
        <v>266.28683243461279</v>
      </c>
      <c r="N34" s="6">
        <v>252.53402847675466</v>
      </c>
      <c r="O34" s="6">
        <v>240.81860193779528</v>
      </c>
      <c r="P34" s="6">
        <v>230.82446495295713</v>
      </c>
      <c r="Q34" s="6">
        <v>222.29900661708459</v>
      </c>
      <c r="R34" s="6">
        <v>215.04009789931749</v>
      </c>
    </row>
    <row r="35" spans="1:18" x14ac:dyDescent="0.25">
      <c r="A35" s="12"/>
      <c r="B35" s="9">
        <v>48</v>
      </c>
      <c r="C35" s="6">
        <v>771.19016834204149</v>
      </c>
      <c r="D35" s="6">
        <v>641.69274020784917</v>
      </c>
      <c r="E35" s="6">
        <v>549.85888867991957</v>
      </c>
      <c r="F35" s="6">
        <v>481.58030042727194</v>
      </c>
      <c r="G35" s="6">
        <v>429.01851445188868</v>
      </c>
      <c r="H35" s="6">
        <v>387.48324163897064</v>
      </c>
      <c r="I35" s="6">
        <v>353.99343301472777</v>
      </c>
      <c r="J35" s="6">
        <v>326.57012963847325</v>
      </c>
      <c r="K35" s="6">
        <v>303.83928345290684</v>
      </c>
      <c r="L35" s="6">
        <v>284.8257745144964</v>
      </c>
      <c r="M35" s="6">
        <v>268.81112931648806</v>
      </c>
      <c r="N35" s="6">
        <v>255.25457358326491</v>
      </c>
      <c r="O35" s="6">
        <v>243.74799482994297</v>
      </c>
      <c r="P35" s="6">
        <v>233.97075911811356</v>
      </c>
      <c r="Q35" s="6">
        <v>225.66968285925029</v>
      </c>
      <c r="R35" s="6">
        <v>218.63551649901987</v>
      </c>
    </row>
    <row r="36" spans="1:18" x14ac:dyDescent="0.25">
      <c r="A36" s="12"/>
      <c r="B36" s="9">
        <v>49</v>
      </c>
      <c r="C36" s="6">
        <v>772.40787377853667</v>
      </c>
      <c r="D36" s="6">
        <v>643.02793485064012</v>
      </c>
      <c r="E36" s="6">
        <v>551.30723324827886</v>
      </c>
      <c r="F36" s="6">
        <v>483.13896696248185</v>
      </c>
      <c r="G36" s="6">
        <v>430.70056201477297</v>
      </c>
      <c r="H36" s="6">
        <v>389.30319626364042</v>
      </c>
      <c r="I36" s="6">
        <v>355.97234207518846</v>
      </c>
      <c r="J36" s="6">
        <v>328.72068010471816</v>
      </c>
      <c r="K36" s="6">
        <v>306.17912252783628</v>
      </c>
      <c r="L36" s="6">
        <v>287.36615797446007</v>
      </c>
      <c r="M36" s="6">
        <v>271.55982373158952</v>
      </c>
      <c r="N36" s="6">
        <v>258.22452068021391</v>
      </c>
      <c r="O36" s="6">
        <v>246.94731407878353</v>
      </c>
      <c r="P36" s="6">
        <v>237.40696569780289</v>
      </c>
      <c r="Q36" s="6">
        <v>229.34267152263806</v>
      </c>
      <c r="R36" s="6">
        <v>222.54810205350734</v>
      </c>
    </row>
    <row r="37" spans="1:18" x14ac:dyDescent="0.25">
      <c r="A37" s="12"/>
      <c r="B37" s="9">
        <v>50</v>
      </c>
      <c r="C37" s="6">
        <v>773.68309329208307</v>
      </c>
      <c r="D37" s="6">
        <v>644.42843597518697</v>
      </c>
      <c r="E37" s="6">
        <v>552.82675191796147</v>
      </c>
      <c r="F37" s="6">
        <v>484.79076494987339</v>
      </c>
      <c r="G37" s="6">
        <v>432.50038602936075</v>
      </c>
      <c r="H37" s="6">
        <v>391.27378560015558</v>
      </c>
      <c r="I37" s="6">
        <v>358.12697123672359</v>
      </c>
      <c r="J37" s="6">
        <v>331.0777668056694</v>
      </c>
      <c r="K37" s="6">
        <v>308.75009288271951</v>
      </c>
      <c r="L37" s="6">
        <v>290.1585168902904</v>
      </c>
      <c r="M37" s="6">
        <v>274.58677459193325</v>
      </c>
      <c r="N37" s="6">
        <v>261.49416714442054</v>
      </c>
      <c r="O37" s="6">
        <v>250.46713141131869</v>
      </c>
      <c r="P37" s="6">
        <v>241.1762656728886</v>
      </c>
      <c r="Q37" s="6">
        <v>233.36396177452102</v>
      </c>
      <c r="R37" s="6">
        <v>226.82448980150107</v>
      </c>
    </row>
    <row r="38" spans="1:18" x14ac:dyDescent="0.25">
      <c r="A38" s="12"/>
      <c r="B38" s="9">
        <v>51</v>
      </c>
      <c r="C38" s="6">
        <v>775.04467990434046</v>
      </c>
      <c r="D38" s="6">
        <v>645.91913806919513</v>
      </c>
      <c r="E38" s="6">
        <v>554.45961782422637</v>
      </c>
      <c r="F38" s="6">
        <v>486.58304208813934</v>
      </c>
      <c r="G38" s="6">
        <v>434.4767204310416</v>
      </c>
      <c r="H38" s="6">
        <v>393.44799046008842</v>
      </c>
      <c r="I38" s="6">
        <v>360.51813925894049</v>
      </c>
      <c r="J38" s="6">
        <v>333.69734736228833</v>
      </c>
      <c r="K38" s="6">
        <v>311.60511545896537</v>
      </c>
      <c r="L38" s="6">
        <v>293.26234798470978</v>
      </c>
      <c r="M38" s="6">
        <v>277.94741092059985</v>
      </c>
      <c r="N38" s="6">
        <v>265.11896261044132</v>
      </c>
      <c r="O38" s="6">
        <v>254.35468457508316</v>
      </c>
      <c r="P38" s="6">
        <v>245.32869280698273</v>
      </c>
      <c r="Q38" s="6">
        <v>237.78419200545201</v>
      </c>
      <c r="R38" s="6">
        <v>231.5165726810134</v>
      </c>
    </row>
    <row r="39" spans="1:18" x14ac:dyDescent="0.25">
      <c r="A39" s="12"/>
      <c r="B39" s="9">
        <v>52</v>
      </c>
      <c r="C39" s="6">
        <v>776.48191998970503</v>
      </c>
      <c r="D39" s="6">
        <v>647.51318040345132</v>
      </c>
      <c r="E39" s="6">
        <v>556.22868731737242</v>
      </c>
      <c r="F39" s="6">
        <v>488.55328398045788</v>
      </c>
      <c r="G39" s="6">
        <v>436.66192371301599</v>
      </c>
      <c r="H39" s="6">
        <v>395.86740611821284</v>
      </c>
      <c r="I39" s="6">
        <v>363.18277981828385</v>
      </c>
      <c r="J39" s="6">
        <v>336.61328946020507</v>
      </c>
      <c r="K39" s="6">
        <v>314.78561127627825</v>
      </c>
      <c r="L39" s="6">
        <v>296.71506348577759</v>
      </c>
      <c r="M39" s="6">
        <v>281.67939036907546</v>
      </c>
      <c r="N39" s="6">
        <v>269.1278650503462</v>
      </c>
      <c r="O39" s="6">
        <v>258.64207704392669</v>
      </c>
      <c r="P39" s="6">
        <v>249.89723485002918</v>
      </c>
      <c r="Q39" s="6">
        <v>242.63790511273393</v>
      </c>
      <c r="R39" s="6">
        <v>236.66006582880334</v>
      </c>
    </row>
    <row r="40" spans="1:18" x14ac:dyDescent="0.25">
      <c r="A40" s="12"/>
      <c r="B40" s="9">
        <v>53</v>
      </c>
      <c r="C40" s="6">
        <v>778.0204249867686</v>
      </c>
      <c r="D40" s="6">
        <v>649.24900046435346</v>
      </c>
      <c r="E40" s="6">
        <v>558.18820815555591</v>
      </c>
      <c r="F40" s="6">
        <v>490.74911835111914</v>
      </c>
      <c r="G40" s="6">
        <v>439.11252349928077</v>
      </c>
      <c r="H40" s="6">
        <v>398.5826206085913</v>
      </c>
      <c r="I40" s="6">
        <v>366.16704672345645</v>
      </c>
      <c r="J40" s="6">
        <v>339.8793651379022</v>
      </c>
      <c r="K40" s="6">
        <v>318.34055299541137</v>
      </c>
      <c r="L40" s="6">
        <v>300.56538219815758</v>
      </c>
      <c r="M40" s="6">
        <v>285.8215458359897</v>
      </c>
      <c r="N40" s="6">
        <v>273.56270122650557</v>
      </c>
      <c r="O40" s="6">
        <v>263.3718950723341</v>
      </c>
      <c r="P40" s="6">
        <v>254.92599756743866</v>
      </c>
      <c r="Q40" s="6">
        <v>247.97035043236252</v>
      </c>
      <c r="R40" s="6">
        <v>242.3006553701847</v>
      </c>
    </row>
    <row r="41" spans="1:18" x14ac:dyDescent="0.25">
      <c r="A41" s="12"/>
      <c r="B41" s="9">
        <v>54</v>
      </c>
      <c r="C41" s="6">
        <v>779.71776580296535</v>
      </c>
      <c r="D41" s="6">
        <v>651.20064574819708</v>
      </c>
      <c r="E41" s="6">
        <v>560.40319592967057</v>
      </c>
      <c r="F41" s="6">
        <v>493.24333485632661</v>
      </c>
      <c r="G41" s="6">
        <v>441.89351910617984</v>
      </c>
      <c r="H41" s="6">
        <v>401.65222103281059</v>
      </c>
      <c r="I41" s="6">
        <v>369.53701180602809</v>
      </c>
      <c r="J41" s="6">
        <v>343.55582328360799</v>
      </c>
      <c r="K41" s="6">
        <v>322.32923741957313</v>
      </c>
      <c r="L41" s="6">
        <v>304.86127296120617</v>
      </c>
      <c r="M41" s="6">
        <v>290.4245881224993</v>
      </c>
      <c r="N41" s="6">
        <v>278.47476882499177</v>
      </c>
      <c r="O41" s="6">
        <v>268.59689146139448</v>
      </c>
      <c r="P41" s="6">
        <v>260.46882775376054</v>
      </c>
      <c r="Q41" s="6">
        <v>253.83573322609686</v>
      </c>
      <c r="R41" s="6">
        <v>248.4933688011005</v>
      </c>
    </row>
    <row r="42" spans="1:18" x14ac:dyDescent="0.25">
      <c r="A42" s="12"/>
      <c r="B42" s="9">
        <v>55</v>
      </c>
      <c r="C42" s="6">
        <v>781.65252795253559</v>
      </c>
      <c r="D42" s="6">
        <v>653.43579052896848</v>
      </c>
      <c r="E42" s="6">
        <v>562.94806841226375</v>
      </c>
      <c r="F42" s="6">
        <v>496.1010229390983</v>
      </c>
      <c r="G42" s="6">
        <v>445.06161579478419</v>
      </c>
      <c r="H42" s="6">
        <v>405.14069045723807</v>
      </c>
      <c r="I42" s="6">
        <v>373.35059802231729</v>
      </c>
      <c r="J42" s="6">
        <v>347.69915184954527</v>
      </c>
      <c r="K42" s="6">
        <v>326.79545773500723</v>
      </c>
      <c r="L42" s="6">
        <v>309.64921805229568</v>
      </c>
      <c r="M42" s="6">
        <v>295.53563319920971</v>
      </c>
      <c r="N42" s="6">
        <v>283.9127715904911</v>
      </c>
      <c r="O42" s="6">
        <v>274.36698294575723</v>
      </c>
      <c r="P42" s="6">
        <v>266.57605881090245</v>
      </c>
      <c r="Q42" s="6">
        <v>260.28530193390259</v>
      </c>
      <c r="R42" s="6">
        <v>255.29104029745162</v>
      </c>
    </row>
    <row r="43" spans="1:18" x14ac:dyDescent="0.25">
      <c r="A43" s="12"/>
      <c r="B43" s="9">
        <v>56</v>
      </c>
      <c r="C43" s="6">
        <v>783.94346983022592</v>
      </c>
      <c r="D43" s="6">
        <v>656.0720408545709</v>
      </c>
      <c r="E43" s="6">
        <v>565.92531055559971</v>
      </c>
      <c r="F43" s="6">
        <v>499.41071355635336</v>
      </c>
      <c r="G43" s="6">
        <v>448.71124754506963</v>
      </c>
      <c r="H43" s="6">
        <v>409.13341574761489</v>
      </c>
      <c r="I43" s="6">
        <v>377.68981705122428</v>
      </c>
      <c r="J43" s="6">
        <v>352.37599335657683</v>
      </c>
      <c r="K43" s="6">
        <v>331.80757909775474</v>
      </c>
      <c r="L43" s="6">
        <v>314.99758321408063</v>
      </c>
      <c r="M43" s="6">
        <v>301.22421677063727</v>
      </c>
      <c r="N43" s="6">
        <v>289.94712274160401</v>
      </c>
      <c r="O43" s="6">
        <v>280.75267406408159</v>
      </c>
      <c r="P43" s="6">
        <v>273.31889017025094</v>
      </c>
      <c r="Q43" s="6">
        <v>267.39174697332055</v>
      </c>
      <c r="R43" s="6">
        <v>262.7687174894989</v>
      </c>
    </row>
    <row r="44" spans="1:18" x14ac:dyDescent="0.25">
      <c r="A44" s="12"/>
      <c r="B44" s="9">
        <v>57</v>
      </c>
      <c r="C44" s="6">
        <v>786.74555399471615</v>
      </c>
      <c r="D44" s="6">
        <v>659.24043841589992</v>
      </c>
      <c r="E44" s="6">
        <v>569.44397306469023</v>
      </c>
      <c r="F44" s="6">
        <v>503.28482102580818</v>
      </c>
      <c r="G44" s="6">
        <v>452.94294157767416</v>
      </c>
      <c r="H44" s="6">
        <v>413.72530949737143</v>
      </c>
      <c r="I44" s="6">
        <v>382.63121305393867</v>
      </c>
      <c r="J44" s="6">
        <v>357.6636139278084</v>
      </c>
      <c r="K44" s="6">
        <v>337.44234307027534</v>
      </c>
      <c r="L44" s="6">
        <v>320.98398358112212</v>
      </c>
      <c r="M44" s="6">
        <v>307.56861163268172</v>
      </c>
      <c r="N44" s="6">
        <v>296.65595683155578</v>
      </c>
      <c r="O44" s="6">
        <v>287.832663335711</v>
      </c>
      <c r="P44" s="6">
        <v>280.77750552945184</v>
      </c>
      <c r="Q44" s="6">
        <v>275.23772918725291</v>
      </c>
      <c r="R44" s="6">
        <v>271.01188640925739</v>
      </c>
    </row>
    <row r="45" spans="1:18" x14ac:dyDescent="0.25">
      <c r="A45" s="12"/>
      <c r="B45" s="9">
        <v>58</v>
      </c>
      <c r="C45" s="6">
        <v>789.9801094693147</v>
      </c>
      <c r="D45" s="6">
        <v>662.8540992823099</v>
      </c>
      <c r="E45" s="6">
        <v>573.43547526951011</v>
      </c>
      <c r="F45" s="6">
        <v>507.65337185728845</v>
      </c>
      <c r="G45" s="6">
        <v>457.68898046015852</v>
      </c>
      <c r="H45" s="6">
        <v>418.83511602646246</v>
      </c>
      <c r="I45" s="6">
        <v>388.09976744202964</v>
      </c>
      <c r="J45" s="6">
        <v>363.49139960817246</v>
      </c>
      <c r="K45" s="6">
        <v>343.63418984072325</v>
      </c>
      <c r="L45" s="6">
        <v>327.54697890778885</v>
      </c>
      <c r="M45" s="6">
        <v>314.51002879450886</v>
      </c>
      <c r="N45" s="6">
        <v>303.9834035129428</v>
      </c>
      <c r="O45" s="6">
        <v>295.55460675980999</v>
      </c>
      <c r="P45" s="6">
        <v>288.90383455477092</v>
      </c>
      <c r="Q45" s="6">
        <v>283.77954703266732</v>
      </c>
      <c r="R45" s="6">
        <v>279.9802765632669</v>
      </c>
    </row>
    <row r="46" spans="1:18" x14ac:dyDescent="0.25">
      <c r="A46" s="12"/>
      <c r="B46" s="9">
        <v>59</v>
      </c>
      <c r="C46" s="6">
        <v>793.65749855144213</v>
      </c>
      <c r="D46" s="6">
        <v>666.93527088837914</v>
      </c>
      <c r="E46" s="6">
        <v>577.9150232565471</v>
      </c>
      <c r="F46" s="6">
        <v>512.52845979460528</v>
      </c>
      <c r="G46" s="6">
        <v>462.9419372823678</v>
      </c>
      <c r="H46" s="6">
        <v>424.45865654095525</v>
      </c>
      <c r="I46" s="6">
        <v>394.09390482135211</v>
      </c>
      <c r="J46" s="6">
        <v>369.86145198480392</v>
      </c>
      <c r="K46" s="6">
        <v>350.38818236078566</v>
      </c>
      <c r="L46" s="6">
        <v>334.6932078419336</v>
      </c>
      <c r="M46" s="6">
        <v>322.05716697110591</v>
      </c>
      <c r="N46" s="6">
        <v>311.94108112682471</v>
      </c>
      <c r="O46" s="6">
        <v>303.93403315489098</v>
      </c>
      <c r="P46" s="6">
        <v>297.71757572358689</v>
      </c>
      <c r="Q46" s="6">
        <v>293.04018028780212</v>
      </c>
      <c r="R46" s="6">
        <v>289.70151575909222</v>
      </c>
    </row>
    <row r="47" spans="1:18" x14ac:dyDescent="0.25">
      <c r="A47" s="12"/>
      <c r="B47" s="9">
        <v>60</v>
      </c>
      <c r="C47" s="6">
        <v>797.64566519306254</v>
      </c>
      <c r="D47" s="6">
        <v>671.36226442055681</v>
      </c>
      <c r="E47" s="6">
        <v>582.76818661690379</v>
      </c>
      <c r="F47" s="6">
        <v>517.7818395343179</v>
      </c>
      <c r="G47" s="6">
        <v>468.58323591833886</v>
      </c>
      <c r="H47" s="6">
        <v>430.485996951147</v>
      </c>
      <c r="I47" s="6">
        <v>400.51228437061212</v>
      </c>
      <c r="J47" s="6">
        <v>376.67932656710491</v>
      </c>
      <c r="K47" s="6">
        <v>357.61450124824285</v>
      </c>
      <c r="L47" s="6">
        <v>342.33742371820864</v>
      </c>
      <c r="M47" s="6">
        <v>330.1298631185503</v>
      </c>
      <c r="N47" s="6">
        <v>320.45464863412775</v>
      </c>
      <c r="O47" s="6">
        <v>312.90242016063229</v>
      </c>
      <c r="P47" s="6">
        <v>307.15480684866071</v>
      </c>
      <c r="Q47" s="6">
        <v>302.96156292078604</v>
      </c>
      <c r="R47" s="6">
        <v>300.12556322861576</v>
      </c>
    </row>
  </sheetData>
  <mergeCells count="3">
    <mergeCell ref="A5:A47"/>
    <mergeCell ref="C3:R3"/>
    <mergeCell ref="C1:R1"/>
  </mergeCells>
  <printOptions horizontalCentered="1" verticalCentered="1"/>
  <pageMargins left="0.70866141732283472" right="0.70866141732283472" top="1.11825" bottom="0.74803149606299213" header="0.31496062992125984" footer="0.31496062992125984"/>
  <pageSetup paperSize="9" scale="71" orientation="landscape" r:id="rId1"/>
  <headerFooter>
    <oddHeader>&amp;L&amp;G&amp;C&amp;"Cambria,Gras"&amp;14TARIF CORIS ETUDE DE CORIS ASSURANCES VIE CI</oddHead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2D614-0C67-4D6F-A5A9-580A95039334}">
  <sheetPr codeName="Feuil2"/>
  <dimension ref="A1:X47"/>
  <sheetViews>
    <sheetView topLeftCell="B1" zoomScale="150" zoomScaleNormal="150" workbookViewId="0">
      <pane xSplit="1" ySplit="4" topLeftCell="F5" activePane="bottomRight" state="frozen"/>
      <selection activeCell="B1" sqref="B1"/>
      <selection pane="topRight" activeCell="C1" sqref="C1"/>
      <selection pane="bottomLeft" activeCell="B5" sqref="B5"/>
      <selection pane="bottomRight" activeCell="T11" sqref="T11"/>
    </sheetView>
  </sheetViews>
  <sheetFormatPr baseColWidth="10" defaultColWidth="10.88671875" defaultRowHeight="13.8" x14ac:dyDescent="0.25"/>
  <cols>
    <col min="1" max="1" width="3.88671875" style="1" customWidth="1"/>
    <col min="2" max="2" width="6.21875" style="5" customWidth="1"/>
    <col min="3" max="18" width="7.77734375" style="1" bestFit="1" customWidth="1"/>
    <col min="19" max="19" width="10.88671875" style="1"/>
    <col min="20" max="20" width="14.21875" style="1" bestFit="1" customWidth="1"/>
    <col min="21" max="21" width="19.44140625" style="1" customWidth="1"/>
    <col min="22" max="22" width="12.109375" style="1" bestFit="1" customWidth="1"/>
    <col min="23" max="23" width="10.88671875" style="1"/>
    <col min="24" max="24" width="18.109375" style="1" customWidth="1"/>
    <col min="25" max="16384" width="10.88671875" style="1"/>
  </cols>
  <sheetData>
    <row r="1" spans="1:24" ht="14.4" customHeight="1" x14ac:dyDescent="0.25">
      <c r="C1" s="18" t="s">
        <v>2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24" ht="8.4" customHeight="1" x14ac:dyDescent="0.25"/>
    <row r="3" spans="1:24" x14ac:dyDescent="0.25">
      <c r="A3" s="15"/>
      <c r="B3" s="15"/>
      <c r="C3" s="16" t="s">
        <v>0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</row>
    <row r="4" spans="1:24" s="3" customFormat="1" x14ac:dyDescent="0.25">
      <c r="A4" s="15"/>
      <c r="B4" s="15"/>
      <c r="C4" s="2">
        <v>60</v>
      </c>
      <c r="D4" s="2">
        <v>72</v>
      </c>
      <c r="E4" s="2">
        <v>84</v>
      </c>
      <c r="F4" s="2">
        <v>96</v>
      </c>
      <c r="G4" s="2">
        <v>108</v>
      </c>
      <c r="H4" s="2">
        <v>120</v>
      </c>
      <c r="I4" s="2">
        <v>132</v>
      </c>
      <c r="J4" s="2">
        <v>144</v>
      </c>
      <c r="K4" s="2">
        <v>156</v>
      </c>
      <c r="L4" s="2">
        <v>168</v>
      </c>
      <c r="M4" s="2">
        <v>180</v>
      </c>
      <c r="N4" s="2">
        <v>192</v>
      </c>
      <c r="O4" s="2">
        <v>204</v>
      </c>
      <c r="P4" s="2">
        <v>216</v>
      </c>
      <c r="Q4" s="2">
        <v>228</v>
      </c>
      <c r="R4" s="2">
        <v>240</v>
      </c>
    </row>
    <row r="5" spans="1:24" x14ac:dyDescent="0.25">
      <c r="A5" s="12" t="s">
        <v>1</v>
      </c>
      <c r="B5" s="4">
        <v>18</v>
      </c>
      <c r="C5" s="7">
        <v>13260.064502379902</v>
      </c>
      <c r="D5" s="7">
        <v>16051.253512868168</v>
      </c>
      <c r="E5" s="7">
        <v>18883.325625275978</v>
      </c>
      <c r="F5" s="7">
        <v>21753.622785536638</v>
      </c>
      <c r="G5" s="7">
        <v>24659.26767988619</v>
      </c>
      <c r="H5" s="7">
        <v>27597.204219722444</v>
      </c>
      <c r="I5" s="7">
        <v>30564.236162796187</v>
      </c>
      <c r="J5" s="7">
        <v>33556.993013354433</v>
      </c>
      <c r="K5" s="7">
        <v>36572.008588477285</v>
      </c>
      <c r="L5" s="7">
        <v>39605.737423938263</v>
      </c>
      <c r="M5" s="7">
        <v>42654.304161989683</v>
      </c>
      <c r="N5" s="7">
        <v>45713.523049335061</v>
      </c>
      <c r="O5" s="7">
        <v>48778.789179007108</v>
      </c>
      <c r="P5" s="7">
        <v>51845.448620733951</v>
      </c>
      <c r="Q5" s="7">
        <v>54908.487918072417</v>
      </c>
      <c r="R5" s="7">
        <v>57962.772351655643</v>
      </c>
    </row>
    <row r="6" spans="1:24" x14ac:dyDescent="0.25">
      <c r="A6" s="12"/>
      <c r="B6" s="4">
        <v>19</v>
      </c>
      <c r="C6" s="7">
        <v>13254.843800959512</v>
      </c>
      <c r="D6" s="7">
        <v>16043.791042372248</v>
      </c>
      <c r="E6" s="7">
        <v>18873.177635052918</v>
      </c>
      <c r="F6" s="7">
        <v>21740.245570809137</v>
      </c>
      <c r="G6" s="7">
        <v>24642.047993516502</v>
      </c>
      <c r="H6" s="7">
        <v>27575.488124245614</v>
      </c>
      <c r="I6" s="7">
        <v>30537.289398556244</v>
      </c>
      <c r="J6" s="7">
        <v>33524.065428055474</v>
      </c>
      <c r="K6" s="7">
        <v>36532.338915148328</v>
      </c>
      <c r="L6" s="7">
        <v>39558.306905918493</v>
      </c>
      <c r="M6" s="7">
        <v>42597.848233837642</v>
      </c>
      <c r="N6" s="7">
        <v>45646.418268858615</v>
      </c>
      <c r="O6" s="7">
        <v>48699.396104450549</v>
      </c>
      <c r="P6" s="7">
        <v>51751.796536715534</v>
      </c>
      <c r="Q6" s="7">
        <v>54798.491787011124</v>
      </c>
      <c r="R6" s="7">
        <v>57834.026905580155</v>
      </c>
    </row>
    <row r="7" spans="1:24" x14ac:dyDescent="0.25">
      <c r="A7" s="12"/>
      <c r="B7" s="4">
        <v>20</v>
      </c>
      <c r="C7" s="7">
        <v>13251.658502330469</v>
      </c>
      <c r="D7" s="7">
        <v>16039.116846230369</v>
      </c>
      <c r="E7" s="7">
        <v>18866.606781285478</v>
      </c>
      <c r="F7" s="7">
        <v>21731.299794814167</v>
      </c>
      <c r="G7" s="7">
        <v>24630.207959486339</v>
      </c>
      <c r="H7" s="7">
        <v>27560.158262622899</v>
      </c>
      <c r="I7" s="7">
        <v>30517.853818129519</v>
      </c>
      <c r="J7" s="7">
        <v>33499.8952065661</v>
      </c>
      <c r="K7" s="7">
        <v>36502.561699980433</v>
      </c>
      <c r="L7" s="7">
        <v>39521.806477085956</v>
      </c>
      <c r="M7" s="7">
        <v>42553.154837520437</v>
      </c>
      <c r="N7" s="7">
        <v>45592.028008186484</v>
      </c>
      <c r="O7" s="7">
        <v>48633.477778804496</v>
      </c>
      <c r="P7" s="7">
        <v>51672.39131398379</v>
      </c>
      <c r="Q7" s="7">
        <v>54703.317379826585</v>
      </c>
      <c r="R7" s="7">
        <v>57720.433844673964</v>
      </c>
    </row>
    <row r="8" spans="1:24" x14ac:dyDescent="0.25">
      <c r="A8" s="12"/>
      <c r="B8" s="4">
        <v>21</v>
      </c>
      <c r="C8" s="7">
        <v>13249.535417201243</v>
      </c>
      <c r="D8" s="7">
        <v>16035.82686714456</v>
      </c>
      <c r="E8" s="7">
        <v>18861.754860140274</v>
      </c>
      <c r="F8" s="7">
        <v>21724.448936996709</v>
      </c>
      <c r="G8" s="7">
        <v>24620.848793446141</v>
      </c>
      <c r="H8" s="7">
        <v>27547.756598724365</v>
      </c>
      <c r="I8" s="7">
        <v>30501.86068541418</v>
      </c>
      <c r="J8" s="7">
        <v>33479.532950434448</v>
      </c>
      <c r="K8" s="7">
        <v>36476.811692773597</v>
      </c>
      <c r="L8" s="7">
        <v>39489.30332478934</v>
      </c>
      <c r="M8" s="7">
        <v>42512.482241149723</v>
      </c>
      <c r="N8" s="7">
        <v>45541.448431701436</v>
      </c>
      <c r="O8" s="7">
        <v>48571.114921830325</v>
      </c>
      <c r="P8" s="7">
        <v>51596.04495371606</v>
      </c>
      <c r="Q8" s="7">
        <v>54610.416176874962</v>
      </c>
      <c r="R8" s="7">
        <v>57608.031094523976</v>
      </c>
    </row>
    <row r="9" spans="1:24" x14ac:dyDescent="0.25">
      <c r="A9" s="12"/>
      <c r="B9" s="4">
        <v>22</v>
      </c>
      <c r="C9" s="7">
        <v>13247.843009562446</v>
      </c>
      <c r="D9" s="7">
        <v>16033.042333753328</v>
      </c>
      <c r="E9" s="7">
        <v>18857.494704557739</v>
      </c>
      <c r="F9" s="7">
        <v>21718.260997602538</v>
      </c>
      <c r="G9" s="7">
        <v>24612.251503251595</v>
      </c>
      <c r="H9" s="7">
        <v>27536.251896531816</v>
      </c>
      <c r="I9" s="7">
        <v>30486.737054984216</v>
      </c>
      <c r="J9" s="7">
        <v>33459.841403927334</v>
      </c>
      <c r="K9" s="7">
        <v>36451.264197504723</v>
      </c>
      <c r="L9" s="7">
        <v>39456.544862786461</v>
      </c>
      <c r="M9" s="7">
        <v>42470.843966336208</v>
      </c>
      <c r="N9" s="7">
        <v>45489.112796413072</v>
      </c>
      <c r="O9" s="7">
        <v>48505.941676248476</v>
      </c>
      <c r="P9" s="7">
        <v>51515.520709370641</v>
      </c>
      <c r="Q9" s="7">
        <v>54511.646652308569</v>
      </c>
      <c r="R9" s="7">
        <v>57487.544882738104</v>
      </c>
      <c r="T9" s="19">
        <f>H17*40000/1000</f>
        <v>1095173.3092605101</v>
      </c>
    </row>
    <row r="10" spans="1:24" x14ac:dyDescent="0.25">
      <c r="A10" s="12"/>
      <c r="B10" s="4">
        <v>23</v>
      </c>
      <c r="C10" s="7">
        <v>13246.061664004366</v>
      </c>
      <c r="D10" s="8">
        <v>16030.088581960626</v>
      </c>
      <c r="E10" s="7">
        <v>18852.955044311388</v>
      </c>
      <c r="F10" s="7">
        <v>21711.687813623194</v>
      </c>
      <c r="G10" s="7">
        <v>24603.178929375805</v>
      </c>
      <c r="H10" s="7">
        <v>27524.016191338207</v>
      </c>
      <c r="I10" s="7">
        <v>30470.440936408242</v>
      </c>
      <c r="J10" s="7">
        <v>33438.256988238594</v>
      </c>
      <c r="K10" s="7">
        <v>36423.08090254257</v>
      </c>
      <c r="L10" s="7">
        <v>39420.146676763601</v>
      </c>
      <c r="M10" s="7">
        <v>42424.456995971646</v>
      </c>
      <c r="N10" s="7">
        <v>45430.642875691032</v>
      </c>
      <c r="O10" s="7">
        <v>48432.920847139962</v>
      </c>
      <c r="P10" s="7">
        <v>51425.096077039489</v>
      </c>
      <c r="Q10" s="7">
        <v>54400.389364087845</v>
      </c>
      <c r="R10" s="7">
        <v>57351.942684844835</v>
      </c>
      <c r="T10" s="10">
        <f>32500*J17/1000</f>
        <v>1078160.9406352569</v>
      </c>
    </row>
    <row r="11" spans="1:24" x14ac:dyDescent="0.25">
      <c r="A11" s="12"/>
      <c r="B11" s="4">
        <v>24</v>
      </c>
      <c r="C11" s="7">
        <v>13243.982287179531</v>
      </c>
      <c r="D11" s="7">
        <v>16026.691366868446</v>
      </c>
      <c r="E11" s="7">
        <v>18847.821778661782</v>
      </c>
      <c r="F11" s="7">
        <v>21704.380382019157</v>
      </c>
      <c r="G11" s="7">
        <v>24593.077333664398</v>
      </c>
      <c r="H11" s="7">
        <v>27510.27125625197</v>
      </c>
      <c r="I11" s="7">
        <v>30451.881963045089</v>
      </c>
      <c r="J11" s="7">
        <v>33413.615077340794</v>
      </c>
      <c r="K11" s="7">
        <v>36390.790847070275</v>
      </c>
      <c r="L11" s="7">
        <v>39378.476609132973</v>
      </c>
      <c r="M11" s="7">
        <v>42371.357951646241</v>
      </c>
      <c r="N11" s="7">
        <v>45363.692237705291</v>
      </c>
      <c r="O11" s="7">
        <v>48349.307802804316</v>
      </c>
      <c r="P11" s="7">
        <v>51321.436127842855</v>
      </c>
      <c r="Q11" s="7">
        <v>54273.191345790721</v>
      </c>
      <c r="R11" s="7">
        <v>57197.327809667018</v>
      </c>
      <c r="T11" s="10">
        <f>L17*30000/1000</f>
        <v>1169159.2896657083</v>
      </c>
    </row>
    <row r="12" spans="1:24" x14ac:dyDescent="0.25">
      <c r="A12" s="12"/>
      <c r="B12" s="4">
        <v>25</v>
      </c>
      <c r="C12" s="7">
        <v>13241.647233811116</v>
      </c>
      <c r="D12" s="7">
        <v>16022.936514362358</v>
      </c>
      <c r="E12" s="7">
        <v>18842.241937683353</v>
      </c>
      <c r="F12" s="7">
        <v>21696.405027582918</v>
      </c>
      <c r="G12" s="7">
        <v>24581.911676829186</v>
      </c>
      <c r="H12" s="7">
        <v>27494.808749207426</v>
      </c>
      <c r="I12" s="7">
        <v>30430.902606449294</v>
      </c>
      <c r="J12" s="7">
        <v>33385.612340601241</v>
      </c>
      <c r="K12" s="7">
        <v>36354.083053997419</v>
      </c>
      <c r="L12" s="7">
        <v>39331.068706828541</v>
      </c>
      <c r="M12" s="7">
        <v>42310.881884808121</v>
      </c>
      <c r="N12" s="7">
        <v>45287.38891072102</v>
      </c>
      <c r="O12" s="7">
        <v>48253.847327101917</v>
      </c>
      <c r="P12" s="7">
        <v>51203.358290800104</v>
      </c>
      <c r="Q12" s="7">
        <v>54128.64369577809</v>
      </c>
      <c r="R12" s="7">
        <v>57022.249910388549</v>
      </c>
    </row>
    <row r="13" spans="1:24" x14ac:dyDescent="0.25">
      <c r="A13" s="12"/>
      <c r="B13" s="4">
        <v>26</v>
      </c>
      <c r="C13" s="7">
        <v>13239.01023867738</v>
      </c>
      <c r="D13" s="7">
        <v>16018.800326034645</v>
      </c>
      <c r="E13" s="7">
        <v>18836.086832243207</v>
      </c>
      <c r="F13" s="7">
        <v>21687.492432244409</v>
      </c>
      <c r="G13" s="7">
        <v>24569.201682905183</v>
      </c>
      <c r="H13" s="7">
        <v>27477.133049154632</v>
      </c>
      <c r="I13" s="7">
        <v>30406.816826163918</v>
      </c>
      <c r="J13" s="7">
        <v>33353.488874066796</v>
      </c>
      <c r="K13" s="7">
        <v>36311.985299936248</v>
      </c>
      <c r="L13" s="7">
        <v>39276.688386265094</v>
      </c>
      <c r="M13" s="7">
        <v>42241.517462989912</v>
      </c>
      <c r="N13" s="7">
        <v>45199.771827246666</v>
      </c>
      <c r="O13" s="7">
        <v>48144.554989229357</v>
      </c>
      <c r="P13" s="7">
        <v>51068.571727762333</v>
      </c>
      <c r="Q13" s="7">
        <v>53964.32003795253</v>
      </c>
      <c r="R13" s="7">
        <v>56824.100625510633</v>
      </c>
    </row>
    <row r="14" spans="1:24" x14ac:dyDescent="0.25">
      <c r="A14" s="12"/>
      <c r="B14" s="4">
        <v>27</v>
      </c>
      <c r="C14" s="7">
        <v>13236.344411470496</v>
      </c>
      <c r="D14" s="7">
        <v>16014.554274924914</v>
      </c>
      <c r="E14" s="7">
        <v>18829.589330631872</v>
      </c>
      <c r="F14" s="7">
        <v>21677.782175022094</v>
      </c>
      <c r="G14" s="7">
        <v>24555.174502644088</v>
      </c>
      <c r="H14" s="7">
        <v>27457.419934901296</v>
      </c>
      <c r="I14" s="7">
        <v>30379.857892367414</v>
      </c>
      <c r="J14" s="7">
        <v>33317.420230350428</v>
      </c>
      <c r="K14" s="7">
        <v>36264.573247952525</v>
      </c>
      <c r="L14" s="7">
        <v>39215.304170168369</v>
      </c>
      <c r="M14" s="7">
        <v>42162.969607821804</v>
      </c>
      <c r="N14" s="7">
        <v>45100.690682286353</v>
      </c>
      <c r="O14" s="7">
        <v>48021.170333335736</v>
      </c>
      <c r="P14" s="7">
        <v>50916.872901437731</v>
      </c>
      <c r="Q14" s="7">
        <v>53780.037112521153</v>
      </c>
      <c r="R14" s="7">
        <v>56602.979775492116</v>
      </c>
      <c r="V14" s="10"/>
      <c r="W14" s="10"/>
      <c r="X14" s="10"/>
    </row>
    <row r="15" spans="1:24" x14ac:dyDescent="0.25">
      <c r="A15" s="12"/>
      <c r="B15" s="4">
        <v>28</v>
      </c>
      <c r="C15" s="7">
        <v>13233.638783441345</v>
      </c>
      <c r="D15" s="7">
        <v>16010.072793527885</v>
      </c>
      <c r="E15" s="7">
        <v>18822.451826313765</v>
      </c>
      <c r="F15" s="7">
        <v>21666.951619493368</v>
      </c>
      <c r="G15" s="7">
        <v>24539.360997620075</v>
      </c>
      <c r="H15" s="7">
        <v>27435.135607507189</v>
      </c>
      <c r="I15" s="7">
        <v>30349.316610763937</v>
      </c>
      <c r="J15" s="7">
        <v>33276.468705576342</v>
      </c>
      <c r="K15" s="7">
        <v>36210.662079301692</v>
      </c>
      <c r="L15" s="7">
        <v>39145.326506460282</v>
      </c>
      <c r="M15" s="7">
        <v>42073.616418370802</v>
      </c>
      <c r="N15" s="7">
        <v>44988.248747316364</v>
      </c>
      <c r="O15" s="7">
        <v>47881.669574209198</v>
      </c>
      <c r="P15" s="7">
        <v>50746.070441172342</v>
      </c>
      <c r="Q15" s="7">
        <v>53573.68182474115</v>
      </c>
      <c r="R15" s="7">
        <v>56356.912578932031</v>
      </c>
      <c r="V15" s="10"/>
      <c r="W15" s="10"/>
      <c r="X15" s="10"/>
    </row>
    <row r="16" spans="1:24" x14ac:dyDescent="0.25">
      <c r="A16" s="12"/>
      <c r="B16" s="4">
        <v>29</v>
      </c>
      <c r="C16" s="7">
        <v>13230.685402432113</v>
      </c>
      <c r="D16" s="7">
        <v>16004.959307670119</v>
      </c>
      <c r="E16" s="7">
        <v>18814.207806393195</v>
      </c>
      <c r="F16" s="7">
        <v>21654.366442953215</v>
      </c>
      <c r="G16" s="7">
        <v>24521.01952444698</v>
      </c>
      <c r="H16" s="7">
        <v>27409.330962211017</v>
      </c>
      <c r="I16" s="7">
        <v>30313.978255981332</v>
      </c>
      <c r="J16" s="7">
        <v>33229.129793206695</v>
      </c>
      <c r="K16" s="7">
        <v>36148.304684797782</v>
      </c>
      <c r="L16" s="7">
        <v>39064.706883703882</v>
      </c>
      <c r="M16" s="7">
        <v>41971.083820105552</v>
      </c>
      <c r="N16" s="7">
        <v>44859.879552135113</v>
      </c>
      <c r="O16" s="7">
        <v>47723.254227660189</v>
      </c>
      <c r="P16" s="7">
        <v>50553.366634079772</v>
      </c>
      <c r="Q16" s="7">
        <v>53342.517193816595</v>
      </c>
      <c r="R16" s="7">
        <v>56083.17806378314</v>
      </c>
      <c r="V16" s="10"/>
      <c r="W16" s="10"/>
      <c r="X16" s="10"/>
    </row>
    <row r="17" spans="1:24" x14ac:dyDescent="0.25">
      <c r="A17" s="12"/>
      <c r="B17" s="4">
        <v>30</v>
      </c>
      <c r="C17" s="7">
        <v>13227.300095519407</v>
      </c>
      <c r="D17" s="7">
        <v>15998.998316793957</v>
      </c>
      <c r="E17" s="7">
        <v>18804.54518574159</v>
      </c>
      <c r="F17" s="7">
        <v>21639.665829252437</v>
      </c>
      <c r="G17" s="7">
        <v>24499.66014915282</v>
      </c>
      <c r="H17" s="7">
        <v>27379.332731512754</v>
      </c>
      <c r="I17" s="7">
        <v>30272.965381511913</v>
      </c>
      <c r="J17" s="7">
        <v>33174.182788777136</v>
      </c>
      <c r="K17" s="7">
        <v>36076.254852739316</v>
      </c>
      <c r="L17" s="7">
        <v>38971.976322190276</v>
      </c>
      <c r="M17" s="7">
        <v>41853.805901819287</v>
      </c>
      <c r="N17" s="7">
        <v>44713.888668041291</v>
      </c>
      <c r="O17" s="7">
        <v>47544.326997451797</v>
      </c>
      <c r="P17" s="7">
        <v>50337.326795510286</v>
      </c>
      <c r="Q17" s="7">
        <v>53085.233859952023</v>
      </c>
      <c r="R17" s="7">
        <v>55780.548620052119</v>
      </c>
      <c r="V17" s="10"/>
      <c r="W17" s="10"/>
      <c r="X17" s="10"/>
    </row>
    <row r="18" spans="1:24" x14ac:dyDescent="0.25">
      <c r="A18" s="12"/>
      <c r="B18" s="4">
        <v>31</v>
      </c>
      <c r="C18" s="7">
        <v>13223.029596009994</v>
      </c>
      <c r="D18" s="7">
        <v>15991.581496564719</v>
      </c>
      <c r="E18" s="7">
        <v>18792.722192104167</v>
      </c>
      <c r="F18" s="7">
        <v>21621.900492484365</v>
      </c>
      <c r="G18" s="7">
        <v>24474.062180818935</v>
      </c>
      <c r="H18" s="7">
        <v>27343.617695278514</v>
      </c>
      <c r="I18" s="7">
        <v>30224.313723689989</v>
      </c>
      <c r="J18" s="7">
        <v>33109.502942245417</v>
      </c>
      <c r="K18" s="7">
        <v>35992.044846459983</v>
      </c>
      <c r="L18" s="7">
        <v>38864.430280677843</v>
      </c>
      <c r="M18" s="7">
        <v>41718.806600965843</v>
      </c>
      <c r="N18" s="7">
        <v>44547.236272794289</v>
      </c>
      <c r="O18" s="7">
        <v>47341.845980595848</v>
      </c>
      <c r="P18" s="7">
        <v>50094.869088922089</v>
      </c>
      <c r="Q18" s="7">
        <v>52798.664461621061</v>
      </c>
      <c r="R18" s="7">
        <v>55445.805270845398</v>
      </c>
    </row>
    <row r="19" spans="1:24" x14ac:dyDescent="0.25">
      <c r="A19" s="12"/>
      <c r="B19" s="4">
        <v>32</v>
      </c>
      <c r="C19" s="7">
        <v>13217.312647859506</v>
      </c>
      <c r="D19" s="7">
        <v>15982.012206008658</v>
      </c>
      <c r="E19" s="7">
        <v>18777.847237458391</v>
      </c>
      <c r="F19" s="7">
        <v>21599.918478745883</v>
      </c>
      <c r="G19" s="7">
        <v>24442.780026090735</v>
      </c>
      <c r="H19" s="7">
        <v>27300.316967133775</v>
      </c>
      <c r="I19" s="7">
        <v>30165.981800146987</v>
      </c>
      <c r="J19" s="7">
        <v>33032.716615303332</v>
      </c>
      <c r="K19" s="7">
        <v>35893.062536427016</v>
      </c>
      <c r="L19" s="7">
        <v>38739.18741523585</v>
      </c>
      <c r="M19" s="7">
        <v>41563.131385512206</v>
      </c>
      <c r="N19" s="7">
        <v>44356.95847138454</v>
      </c>
      <c r="O19" s="7">
        <v>47112.804947137811</v>
      </c>
      <c r="P19" s="7">
        <v>49822.902056503022</v>
      </c>
      <c r="Q19" s="7">
        <v>52479.665118509991</v>
      </c>
      <c r="R19" s="7">
        <v>55075.496647200125</v>
      </c>
    </row>
    <row r="20" spans="1:24" x14ac:dyDescent="0.25">
      <c r="A20" s="12"/>
      <c r="B20" s="4">
        <v>33</v>
      </c>
      <c r="C20" s="7">
        <v>13210.298572677868</v>
      </c>
      <c r="D20" s="7">
        <v>15970.488515662031</v>
      </c>
      <c r="E20" s="7">
        <v>18760.125034555207</v>
      </c>
      <c r="F20" s="7">
        <v>21573.92066292217</v>
      </c>
      <c r="G20" s="7">
        <v>24405.914958490222</v>
      </c>
      <c r="H20" s="7">
        <v>27249.676947814274</v>
      </c>
      <c r="I20" s="7">
        <v>30098.248747774564</v>
      </c>
      <c r="J20" s="7">
        <v>32944.239435045507</v>
      </c>
      <c r="K20" s="7">
        <v>35779.855034903987</v>
      </c>
      <c r="L20" s="7">
        <v>38597.130353139037</v>
      </c>
      <c r="M20" s="7">
        <v>41388.082694957266</v>
      </c>
      <c r="N20" s="7">
        <v>44144.765903430969</v>
      </c>
      <c r="O20" s="7">
        <v>46859.296781395031</v>
      </c>
      <c r="P20" s="7">
        <v>49523.944203389183</v>
      </c>
      <c r="Q20" s="7">
        <v>52130.944990041928</v>
      </c>
      <c r="R20" s="7">
        <v>54672.706187750155</v>
      </c>
    </row>
    <row r="21" spans="1:24" x14ac:dyDescent="0.25">
      <c r="A21" s="12"/>
      <c r="B21" s="4">
        <v>34</v>
      </c>
      <c r="C21" s="7">
        <v>13202.150537057569</v>
      </c>
      <c r="D21" s="7">
        <v>15957.175903463249</v>
      </c>
      <c r="E21" s="7">
        <v>18739.709693029741</v>
      </c>
      <c r="F21" s="7">
        <v>21543.961995882819</v>
      </c>
      <c r="G21" s="7">
        <v>24363.635079818137</v>
      </c>
      <c r="H21" s="7">
        <v>27191.888480713675</v>
      </c>
      <c r="I21" s="7">
        <v>30021.416831470073</v>
      </c>
      <c r="J21" s="7">
        <v>32844.481884885005</v>
      </c>
      <c r="K21" s="7">
        <v>35653.129963534018</v>
      </c>
      <c r="L21" s="7">
        <v>38439.347387419068</v>
      </c>
      <c r="M21" s="7">
        <v>41195.11994562723</v>
      </c>
      <c r="N21" s="7">
        <v>43912.462800779482</v>
      </c>
      <c r="O21" s="7">
        <v>46583.509307606997</v>
      </c>
      <c r="P21" s="7">
        <v>49200.339835636412</v>
      </c>
      <c r="Q21" s="7">
        <v>51755.174896327961</v>
      </c>
      <c r="R21" s="7">
        <v>54240.484911186897</v>
      </c>
    </row>
    <row r="22" spans="1:24" x14ac:dyDescent="0.25">
      <c r="A22" s="12"/>
      <c r="B22" s="4">
        <v>35</v>
      </c>
      <c r="C22" s="7">
        <v>13193.279659251719</v>
      </c>
      <c r="D22" s="7">
        <v>15942.547422872689</v>
      </c>
      <c r="E22" s="7">
        <v>18717.065000327442</v>
      </c>
      <c r="F22" s="7">
        <v>21510.684911464563</v>
      </c>
      <c r="G22" s="7">
        <v>24316.701702112605</v>
      </c>
      <c r="H22" s="7">
        <v>27127.913268423643</v>
      </c>
      <c r="I22" s="7">
        <v>29936.654620674326</v>
      </c>
      <c r="J22" s="7">
        <v>32735.000302405795</v>
      </c>
      <c r="K22" s="7">
        <v>35514.921107605871</v>
      </c>
      <c r="L22" s="7">
        <v>38268.348711586448</v>
      </c>
      <c r="M22" s="7">
        <v>40987.208812260869</v>
      </c>
      <c r="N22" s="7">
        <v>43663.50934635607</v>
      </c>
      <c r="O22" s="7">
        <v>46289.182394811811</v>
      </c>
      <c r="P22" s="7">
        <v>48856.267694732691</v>
      </c>
      <c r="Q22" s="7">
        <v>51357.025245465229</v>
      </c>
      <c r="R22" s="7">
        <v>53783.900203384903</v>
      </c>
    </row>
    <row r="23" spans="1:24" x14ac:dyDescent="0.25">
      <c r="A23" s="12"/>
      <c r="B23" s="4">
        <v>36</v>
      </c>
      <c r="C23" s="7">
        <v>13183.180612947559</v>
      </c>
      <c r="D23" s="7">
        <v>15925.823213473139</v>
      </c>
      <c r="E23" s="7">
        <v>18691.26374051988</v>
      </c>
      <c r="F23" s="7">
        <v>21472.950251051749</v>
      </c>
      <c r="G23" s="7">
        <v>24263.80277917202</v>
      </c>
      <c r="H23" s="7">
        <v>27056.248534801969</v>
      </c>
      <c r="I23" s="7">
        <v>29842.408623906671</v>
      </c>
      <c r="J23" s="7">
        <v>32614.255595114562</v>
      </c>
      <c r="K23" s="7">
        <v>35363.682913598699</v>
      </c>
      <c r="L23" s="7">
        <v>38082.541052082874</v>
      </c>
      <c r="M23" s="7">
        <v>40762.724748945468</v>
      </c>
      <c r="N23" s="7">
        <v>43396.028101462463</v>
      </c>
      <c r="O23" s="7">
        <v>45974.317946682648</v>
      </c>
      <c r="P23" s="7">
        <v>48489.649126621298</v>
      </c>
      <c r="Q23" s="7">
        <v>50934.237783508899</v>
      </c>
      <c r="R23" s="7">
        <v>53300.723583502178</v>
      </c>
    </row>
    <row r="24" spans="1:24" x14ac:dyDescent="0.25">
      <c r="A24" s="12"/>
      <c r="B24" s="4">
        <v>37</v>
      </c>
      <c r="C24" s="11">
        <v>13171.792411072662</v>
      </c>
      <c r="D24" s="11">
        <v>15906.969432326994</v>
      </c>
      <c r="E24" s="11">
        <v>18662.278347867436</v>
      </c>
      <c r="F24" s="11">
        <v>21430.780982119148</v>
      </c>
      <c r="G24" s="11">
        <v>24205.016505030526</v>
      </c>
      <c r="H24" s="11">
        <v>26977.171777709278</v>
      </c>
      <c r="I24" s="11">
        <v>29739.239235629648</v>
      </c>
      <c r="J24" s="11">
        <v>32483.090849307446</v>
      </c>
      <c r="K24" s="11">
        <v>35200.516839203032</v>
      </c>
      <c r="L24" s="11">
        <v>37883.311587208336</v>
      </c>
      <c r="M24" s="11">
        <v>40523.141970471959</v>
      </c>
      <c r="N24" s="11">
        <v>43111.710076779549</v>
      </c>
      <c r="O24" s="11">
        <v>45640.870923304727</v>
      </c>
      <c r="P24" s="11">
        <v>48102.614207629013</v>
      </c>
      <c r="Q24" s="11">
        <v>50489.321048217542</v>
      </c>
      <c r="R24" s="11">
        <v>52793.809642711552</v>
      </c>
    </row>
    <row r="25" spans="1:24" x14ac:dyDescent="0.25">
      <c r="A25" s="12"/>
      <c r="B25" s="4">
        <v>38</v>
      </c>
      <c r="C25" s="7">
        <v>13158.652256726249</v>
      </c>
      <c r="D25" s="7">
        <v>15885.412753538296</v>
      </c>
      <c r="E25" s="7">
        <v>18629.442540349333</v>
      </c>
      <c r="F25" s="7">
        <v>21383.413862572714</v>
      </c>
      <c r="G25" s="7">
        <v>24139.60009580199</v>
      </c>
      <c r="H25" s="7">
        <v>26890.033432013217</v>
      </c>
      <c r="I25" s="7">
        <v>29626.582925139963</v>
      </c>
      <c r="J25" s="7">
        <v>32340.995458129608</v>
      </c>
      <c r="K25" s="7">
        <v>35024.979869888164</v>
      </c>
      <c r="L25" s="7">
        <v>37670.088538640019</v>
      </c>
      <c r="M25" s="7">
        <v>40267.868845388097</v>
      </c>
      <c r="N25" s="7">
        <v>42809.983086984728</v>
      </c>
      <c r="O25" s="7">
        <v>45288.198695585532</v>
      </c>
      <c r="P25" s="7">
        <v>47694.639113338701</v>
      </c>
      <c r="Q25" s="7">
        <v>50021.839012448429</v>
      </c>
      <c r="R25" s="7">
        <v>52261.407605586908</v>
      </c>
    </row>
    <row r="26" spans="1:24" x14ac:dyDescent="0.25">
      <c r="A26" s="12"/>
      <c r="B26" s="4">
        <v>39</v>
      </c>
      <c r="C26" s="7">
        <v>13143.631102493322</v>
      </c>
      <c r="D26" s="7">
        <v>15861.042630194976</v>
      </c>
      <c r="E26" s="7">
        <v>18592.675714358717</v>
      </c>
      <c r="F26" s="7">
        <v>21330.912345718534</v>
      </c>
      <c r="G26" s="7">
        <v>24067.845759866901</v>
      </c>
      <c r="H26" s="7">
        <v>26795.362117774792</v>
      </c>
      <c r="I26" s="7">
        <v>29505.183304676593</v>
      </c>
      <c r="J26" s="7">
        <v>32188.948787352729</v>
      </c>
      <c r="K26" s="7">
        <v>34838.110397165634</v>
      </c>
      <c r="L26" s="7">
        <v>37444.071914185864</v>
      </c>
      <c r="M26" s="7">
        <v>39998.310868600704</v>
      </c>
      <c r="N26" s="7">
        <v>42492.377195992041</v>
      </c>
      <c r="O26" s="7">
        <v>44918.137835869478</v>
      </c>
      <c r="P26" s="7">
        <v>47267.84164606587</v>
      </c>
      <c r="Q26" s="7">
        <v>49532.835796920255</v>
      </c>
      <c r="R26" s="7">
        <v>51704.656180047627</v>
      </c>
    </row>
    <row r="27" spans="1:24" x14ac:dyDescent="0.25">
      <c r="A27" s="12"/>
      <c r="B27" s="4">
        <v>40</v>
      </c>
      <c r="C27" s="7">
        <v>13126.80079598146</v>
      </c>
      <c r="D27" s="7">
        <v>15834.008095340605</v>
      </c>
      <c r="E27" s="7">
        <v>18552.308154037415</v>
      </c>
      <c r="F27" s="7">
        <v>21273.878177167742</v>
      </c>
      <c r="G27" s="7">
        <v>23990.64310350479</v>
      </c>
      <c r="H27" s="7">
        <v>26694.319759939262</v>
      </c>
      <c r="I27" s="7">
        <v>29376.49590901659</v>
      </c>
      <c r="J27" s="7">
        <v>32028.53811372265</v>
      </c>
      <c r="K27" s="7">
        <v>34641.718765235026</v>
      </c>
      <c r="L27" s="7">
        <v>37207.339412547124</v>
      </c>
      <c r="M27" s="7">
        <v>39716.737768037354</v>
      </c>
      <c r="N27" s="7">
        <v>42161.525587921918</v>
      </c>
      <c r="O27" s="7">
        <v>44533.663385791719</v>
      </c>
      <c r="P27" s="7">
        <v>46824.231606545094</v>
      </c>
      <c r="Q27" s="7">
        <v>49024.454309568398</v>
      </c>
      <c r="R27" s="7">
        <v>51124.86755196999</v>
      </c>
    </row>
    <row r="28" spans="1:24" x14ac:dyDescent="0.25">
      <c r="A28" s="12"/>
      <c r="B28" s="4">
        <v>41</v>
      </c>
      <c r="C28" s="7">
        <v>13108.326215734811</v>
      </c>
      <c r="D28" s="7">
        <v>15804.643977495731</v>
      </c>
      <c r="E28" s="7">
        <v>18508.936331151337</v>
      </c>
      <c r="F28" s="7">
        <v>21213.190818812382</v>
      </c>
      <c r="G28" s="7">
        <v>23909.141290766016</v>
      </c>
      <c r="H28" s="7">
        <v>26588.343536172088</v>
      </c>
      <c r="I28" s="7">
        <v>29242.096036498249</v>
      </c>
      <c r="J28" s="7">
        <v>31861.553692067297</v>
      </c>
      <c r="K28" s="7">
        <v>34437.852249249401</v>
      </c>
      <c r="L28" s="7">
        <v>36962.123505158546</v>
      </c>
      <c r="M28" s="7">
        <v>39425.725974971683</v>
      </c>
      <c r="N28" s="7">
        <v>41820.329469275734</v>
      </c>
      <c r="O28" s="7">
        <v>44136.742680413103</v>
      </c>
      <c r="P28" s="7">
        <v>46365.868020096845</v>
      </c>
      <c r="Q28" s="7">
        <v>48497.918900628472</v>
      </c>
      <c r="R28" s="7">
        <v>50524.171212443987</v>
      </c>
    </row>
    <row r="29" spans="1:24" x14ac:dyDescent="0.25">
      <c r="A29" s="12"/>
      <c r="B29" s="4">
        <v>42</v>
      </c>
      <c r="C29" s="7">
        <v>13088.970228212178</v>
      </c>
      <c r="D29" s="7">
        <v>15774.087043254687</v>
      </c>
      <c r="E29" s="7">
        <v>18464.109064674711</v>
      </c>
      <c r="F29" s="7">
        <v>21150.811557058372</v>
      </c>
      <c r="G29" s="7">
        <v>23825.740187363594</v>
      </c>
      <c r="H29" s="7">
        <v>26480.144378799454</v>
      </c>
      <c r="I29" s="7">
        <v>29105.076910837226</v>
      </c>
      <c r="J29" s="7">
        <v>31691.518932732346</v>
      </c>
      <c r="K29" s="7">
        <v>34230.403137720146</v>
      </c>
      <c r="L29" s="7">
        <v>36712.836671237848</v>
      </c>
      <c r="M29" s="7">
        <v>39130.195596501573</v>
      </c>
      <c r="N29" s="7">
        <v>41473.010378538915</v>
      </c>
      <c r="O29" s="7">
        <v>43731.849778742115</v>
      </c>
      <c r="P29" s="7">
        <v>45896.588343691008</v>
      </c>
      <c r="Q29" s="7">
        <v>47958.091054688761</v>
      </c>
      <c r="R29" s="7">
        <v>49906.770862524943</v>
      </c>
    </row>
    <row r="30" spans="1:24" x14ac:dyDescent="0.25">
      <c r="A30" s="12"/>
      <c r="B30" s="4">
        <v>43</v>
      </c>
      <c r="C30" s="7">
        <v>13068.67851088406</v>
      </c>
      <c r="D30" s="7">
        <v>15742.368123635688</v>
      </c>
      <c r="E30" s="7">
        <v>18417.915944271354</v>
      </c>
      <c r="F30" s="7">
        <v>21086.88376710915</v>
      </c>
      <c r="G30" s="7">
        <v>23740.495565497262</v>
      </c>
      <c r="H30" s="7">
        <v>26369.722018983826</v>
      </c>
      <c r="I30" s="7">
        <v>28965.405473508217</v>
      </c>
      <c r="J30" s="7">
        <v>31518.290746789484</v>
      </c>
      <c r="K30" s="7">
        <v>34019.23957669815</v>
      </c>
      <c r="L30" s="7">
        <v>36459.33489236109</v>
      </c>
      <c r="M30" s="7">
        <v>38828.825851865906</v>
      </c>
      <c r="N30" s="7">
        <v>41117.93835303565</v>
      </c>
      <c r="O30" s="7">
        <v>43316.194172740165</v>
      </c>
      <c r="P30" s="7">
        <v>45414.026579237317</v>
      </c>
      <c r="Q30" s="7">
        <v>47401.427009371335</v>
      </c>
      <c r="R30" s="7">
        <v>49269.651324173072</v>
      </c>
    </row>
    <row r="31" spans="1:24" x14ac:dyDescent="0.25">
      <c r="A31" s="12"/>
      <c r="B31" s="4">
        <v>44</v>
      </c>
      <c r="C31" s="7">
        <v>13047.962351256663</v>
      </c>
      <c r="D31" s="7">
        <v>15710.193988593401</v>
      </c>
      <c r="E31" s="7">
        <v>18371.264529204393</v>
      </c>
      <c r="F31" s="7">
        <v>21022.400364081874</v>
      </c>
      <c r="G31" s="7">
        <v>23654.51433951197</v>
      </c>
      <c r="H31" s="7">
        <v>26258.329890243789</v>
      </c>
      <c r="I31" s="7">
        <v>28824.419013612733</v>
      </c>
      <c r="J31" s="7">
        <v>31343.407409792191</v>
      </c>
      <c r="K31" s="7">
        <v>33806.088361071845</v>
      </c>
      <c r="L31" s="7">
        <v>36202.429019152514</v>
      </c>
      <c r="M31" s="7">
        <v>38522.304839168937</v>
      </c>
      <c r="N31" s="7">
        <v>40754.871840605869</v>
      </c>
      <c r="O31" s="7">
        <v>42890.110703784339</v>
      </c>
      <c r="P31" s="7">
        <v>44917.565742998246</v>
      </c>
      <c r="Q31" s="7">
        <v>46827.984591835317</v>
      </c>
      <c r="R31" s="7">
        <v>48613.294425549502</v>
      </c>
    </row>
    <row r="32" spans="1:24" x14ac:dyDescent="0.25">
      <c r="A32" s="12"/>
      <c r="B32" s="4">
        <v>45</v>
      </c>
      <c r="C32" s="7">
        <v>13027.18660425794</v>
      </c>
      <c r="D32" s="7">
        <v>15678.041327400664</v>
      </c>
      <c r="E32" s="7">
        <v>18324.634818377479</v>
      </c>
      <c r="F32" s="7">
        <v>20957.851758812332</v>
      </c>
      <c r="G32" s="7">
        <v>23568.322020708543</v>
      </c>
      <c r="H32" s="7">
        <v>26146.465200747978</v>
      </c>
      <c r="I32" s="7">
        <v>28682.685415039341</v>
      </c>
      <c r="J32" s="7">
        <v>31167.494434026048</v>
      </c>
      <c r="K32" s="7">
        <v>33590.581012356146</v>
      </c>
      <c r="L32" s="7">
        <v>35941.466195707711</v>
      </c>
      <c r="M32" s="7">
        <v>38208.930237640809</v>
      </c>
      <c r="N32" s="7">
        <v>40382.482236659154</v>
      </c>
      <c r="O32" s="7">
        <v>42451.194862552424</v>
      </c>
      <c r="P32" s="7">
        <v>44405.275180982571</v>
      </c>
      <c r="Q32" s="7">
        <v>46236.089655266878</v>
      </c>
      <c r="R32" s="7">
        <v>47935.087516764142</v>
      </c>
    </row>
    <row r="33" spans="1:18" x14ac:dyDescent="0.25">
      <c r="A33" s="12"/>
      <c r="B33" s="4">
        <v>46</v>
      </c>
      <c r="C33" s="7">
        <v>13006.860410354589</v>
      </c>
      <c r="D33" s="7">
        <v>15646.451892264933</v>
      </c>
      <c r="E33" s="7">
        <v>18278.595442734066</v>
      </c>
      <c r="F33" s="7">
        <v>20893.858701254783</v>
      </c>
      <c r="G33" s="7">
        <v>23482.535270386335</v>
      </c>
      <c r="H33" s="7">
        <v>26034.827919260351</v>
      </c>
      <c r="I33" s="7">
        <v>28540.980436880574</v>
      </c>
      <c r="J33" s="7">
        <v>30990.411857958159</v>
      </c>
      <c r="K33" s="7">
        <v>33372.289218512939</v>
      </c>
      <c r="L33" s="7">
        <v>35675.010686878537</v>
      </c>
      <c r="M33" s="7">
        <v>37887.5973017633</v>
      </c>
      <c r="N33" s="7">
        <v>39998.62717702402</v>
      </c>
      <c r="O33" s="7">
        <v>41997.734731293072</v>
      </c>
      <c r="P33" s="7">
        <v>43875.686960090847</v>
      </c>
      <c r="Q33" s="7">
        <v>45623.354858151775</v>
      </c>
      <c r="R33" s="7">
        <v>47233.427678021064</v>
      </c>
    </row>
    <row r="34" spans="1:18" x14ac:dyDescent="0.25">
      <c r="A34" s="12"/>
      <c r="B34" s="4">
        <v>47</v>
      </c>
      <c r="C34" s="7">
        <v>12986.927968871118</v>
      </c>
      <c r="D34" s="7">
        <v>15615.23515505586</v>
      </c>
      <c r="E34" s="7">
        <v>18232.831954529083</v>
      </c>
      <c r="F34" s="7">
        <v>20829.920095658796</v>
      </c>
      <c r="G34" s="7">
        <v>23396.529101888391</v>
      </c>
      <c r="H34" s="7">
        <v>25922.656096450097</v>
      </c>
      <c r="I34" s="7">
        <v>28397.466901982207</v>
      </c>
      <c r="J34" s="7">
        <v>30809.782348358476</v>
      </c>
      <c r="K34" s="7">
        <v>33147.619231524732</v>
      </c>
      <c r="L34" s="7">
        <v>35399.499968626711</v>
      </c>
      <c r="M34" s="7">
        <v>37553.490379422037</v>
      </c>
      <c r="N34" s="7">
        <v>39598.623838214669</v>
      </c>
      <c r="O34" s="7">
        <v>41525.031370222197</v>
      </c>
      <c r="P34" s="7">
        <v>43322.964062921303</v>
      </c>
      <c r="Q34" s="7">
        <v>44984.456530771822</v>
      </c>
      <c r="R34" s="7">
        <v>46502.955019496105</v>
      </c>
    </row>
    <row r="35" spans="1:18" x14ac:dyDescent="0.25">
      <c r="A35" s="12"/>
      <c r="B35" s="4">
        <v>48</v>
      </c>
      <c r="C35" s="7">
        <v>12966.97028892199</v>
      </c>
      <c r="D35" s="7">
        <v>15583.782351598562</v>
      </c>
      <c r="E35" s="7">
        <v>18186.484215991528</v>
      </c>
      <c r="F35" s="7">
        <v>20764.968980516252</v>
      </c>
      <c r="G35" s="7">
        <v>23309.01735738826</v>
      </c>
      <c r="H35" s="7">
        <v>25807.567722676609</v>
      </c>
      <c r="I35" s="7">
        <v>28249.111614406567</v>
      </c>
      <c r="J35" s="7">
        <v>30621.294149193669</v>
      </c>
      <c r="K35" s="7">
        <v>32912.1365952337</v>
      </c>
      <c r="L35" s="7">
        <v>35109.182155461996</v>
      </c>
      <c r="M35" s="7">
        <v>37200.840699666034</v>
      </c>
      <c r="N35" s="7">
        <v>39176.575211248724</v>
      </c>
      <c r="O35" s="7">
        <v>41025.978519235643</v>
      </c>
      <c r="P35" s="7">
        <v>42740.383617560437</v>
      </c>
      <c r="Q35" s="7">
        <v>44312.553965155254</v>
      </c>
      <c r="R35" s="7">
        <v>45738.22295722401</v>
      </c>
    </row>
    <row r="36" spans="1:18" x14ac:dyDescent="0.25">
      <c r="A36" s="12"/>
      <c r="B36" s="4">
        <v>49</v>
      </c>
      <c r="C36" s="7">
        <v>12946.527786001287</v>
      </c>
      <c r="D36" s="7">
        <v>15551.423908702751</v>
      </c>
      <c r="E36" s="7">
        <v>18138.706327287644</v>
      </c>
      <c r="F36" s="7">
        <v>20697.978602037598</v>
      </c>
      <c r="G36" s="7">
        <v>23217.986884486585</v>
      </c>
      <c r="H36" s="7">
        <v>25686.919850583221</v>
      </c>
      <c r="I36" s="7">
        <v>28092.070135852857</v>
      </c>
      <c r="J36" s="7">
        <v>30420.964074467029</v>
      </c>
      <c r="K36" s="7">
        <v>32660.620088787568</v>
      </c>
      <c r="L36" s="7">
        <v>34798.808845433909</v>
      </c>
      <c r="M36" s="7">
        <v>36824.298464282503</v>
      </c>
      <c r="N36" s="7">
        <v>38725.989203728772</v>
      </c>
      <c r="O36" s="7">
        <v>40494.4675640801</v>
      </c>
      <c r="P36" s="7">
        <v>42121.763237263542</v>
      </c>
      <c r="Q36" s="7">
        <v>43602.875703891477</v>
      </c>
      <c r="R36" s="7">
        <v>44934.105965081188</v>
      </c>
    </row>
    <row r="37" spans="1:18" x14ac:dyDescent="0.25">
      <c r="A37" s="12"/>
      <c r="B37" s="4">
        <v>50</v>
      </c>
      <c r="C37" s="7">
        <v>12925.188732571632</v>
      </c>
      <c r="D37" s="7">
        <v>15517.626848460546</v>
      </c>
      <c r="E37" s="7">
        <v>18088.849653722951</v>
      </c>
      <c r="F37" s="7">
        <v>20627.455642712139</v>
      </c>
      <c r="G37" s="7">
        <v>23121.366646181767</v>
      </c>
      <c r="H37" s="7">
        <v>25557.55168893181</v>
      </c>
      <c r="I37" s="7">
        <v>27923.057471675187</v>
      </c>
      <c r="J37" s="7">
        <v>30204.383992567025</v>
      </c>
      <c r="K37" s="7">
        <v>32388.65422397964</v>
      </c>
      <c r="L37" s="7">
        <v>34463.920298369267</v>
      </c>
      <c r="M37" s="7">
        <v>36418.359969671234</v>
      </c>
      <c r="N37" s="7">
        <v>38241.770779067141</v>
      </c>
      <c r="O37" s="7">
        <v>39925.398369249247</v>
      </c>
      <c r="P37" s="7">
        <v>41463.449863524991</v>
      </c>
      <c r="Q37" s="7">
        <v>42851.517963438237</v>
      </c>
      <c r="R37" s="7">
        <v>44086.950261637146</v>
      </c>
    </row>
    <row r="38" spans="1:18" x14ac:dyDescent="0.25">
      <c r="A38" s="12"/>
      <c r="B38" s="4">
        <v>51</v>
      </c>
      <c r="C38" s="7">
        <v>12902.481959148789</v>
      </c>
      <c r="D38" s="7">
        <v>15481.814070244707</v>
      </c>
      <c r="E38" s="7">
        <v>18035.578567906057</v>
      </c>
      <c r="F38" s="7">
        <v>20551.476592948358</v>
      </c>
      <c r="G38" s="7">
        <v>23016.192881586529</v>
      </c>
      <c r="H38" s="7">
        <v>25416.319926570843</v>
      </c>
      <c r="I38" s="7">
        <v>27737.855356058924</v>
      </c>
      <c r="J38" s="7">
        <v>29967.274475044618</v>
      </c>
      <c r="K38" s="7">
        <v>32091.899342765701</v>
      </c>
      <c r="L38" s="7">
        <v>34099.160934636529</v>
      </c>
      <c r="M38" s="7">
        <v>35978.028961948708</v>
      </c>
      <c r="N38" s="7">
        <v>37718.91644994753</v>
      </c>
      <c r="O38" s="7">
        <v>39315.179182587817</v>
      </c>
      <c r="P38" s="7">
        <v>40761.640579350009</v>
      </c>
      <c r="Q38" s="7">
        <v>42054.940303898402</v>
      </c>
      <c r="R38" s="7">
        <v>43193.452132595849</v>
      </c>
    </row>
    <row r="39" spans="1:18" x14ac:dyDescent="0.25">
      <c r="A39" s="12"/>
      <c r="B39" s="4">
        <v>52</v>
      </c>
      <c r="C39" s="7">
        <v>12878.599929451782</v>
      </c>
      <c r="D39" s="7">
        <v>15443.701074577692</v>
      </c>
      <c r="E39" s="7">
        <v>17978.216924101598</v>
      </c>
      <c r="F39" s="7">
        <v>20468.596421101942</v>
      </c>
      <c r="G39" s="7">
        <v>22901.012103295325</v>
      </c>
      <c r="H39" s="7">
        <v>25260.983464281035</v>
      </c>
      <c r="I39" s="7">
        <v>27534.345116812627</v>
      </c>
      <c r="J39" s="7">
        <v>29707.680335604262</v>
      </c>
      <c r="K39" s="7">
        <v>31767.65278265304</v>
      </c>
      <c r="L39" s="7">
        <v>33702.367121240975</v>
      </c>
      <c r="M39" s="7">
        <v>35501.354880445178</v>
      </c>
      <c r="N39" s="7">
        <v>37157.059147811698</v>
      </c>
      <c r="O39" s="7">
        <v>38663.469278827521</v>
      </c>
      <c r="P39" s="7">
        <v>40016.449185607431</v>
      </c>
      <c r="Q39" s="7">
        <v>41213.675972654892</v>
      </c>
      <c r="R39" s="7">
        <v>42254.699646850699</v>
      </c>
    </row>
    <row r="40" spans="1:18" x14ac:dyDescent="0.25">
      <c r="A40" s="12"/>
      <c r="B40" s="4">
        <v>53</v>
      </c>
      <c r="C40" s="7">
        <v>12853.133001193464</v>
      </c>
      <c r="D40" s="7">
        <v>15402.411082416509</v>
      </c>
      <c r="E40" s="7">
        <v>17915.104357083084</v>
      </c>
      <c r="F40" s="7">
        <v>20377.010627343076</v>
      </c>
      <c r="G40" s="7">
        <v>22773.206102868935</v>
      </c>
      <c r="H40" s="7">
        <v>25088.901228887284</v>
      </c>
      <c r="I40" s="7">
        <v>27309.939792458681</v>
      </c>
      <c r="J40" s="7">
        <v>29422.203951518542</v>
      </c>
      <c r="K40" s="7">
        <v>31412.900134480016</v>
      </c>
      <c r="L40" s="7">
        <v>33270.631257884423</v>
      </c>
      <c r="M40" s="7">
        <v>34986.865565894761</v>
      </c>
      <c r="N40" s="7">
        <v>36554.690954452009</v>
      </c>
      <c r="O40" s="7">
        <v>37969.123460396324</v>
      </c>
      <c r="P40" s="7">
        <v>39227.070190652405</v>
      </c>
      <c r="Q40" s="7">
        <v>40327.401975937617</v>
      </c>
      <c r="R40" s="7">
        <v>41271.039835703676</v>
      </c>
    </row>
    <row r="41" spans="1:18" x14ac:dyDescent="0.25">
      <c r="A41" s="12"/>
      <c r="B41" s="4">
        <v>54</v>
      </c>
      <c r="C41" s="7">
        <v>12825.153457548637</v>
      </c>
      <c r="D41" s="7">
        <v>15356.250128576728</v>
      </c>
      <c r="E41" s="7">
        <v>17844.295094375189</v>
      </c>
      <c r="F41" s="7">
        <v>20273.968837131531</v>
      </c>
      <c r="G41" s="7">
        <v>22629.886087098646</v>
      </c>
      <c r="H41" s="7">
        <v>24897.160967480646</v>
      </c>
      <c r="I41" s="7">
        <v>27060.888843386147</v>
      </c>
      <c r="J41" s="7">
        <v>29107.35118509379</v>
      </c>
      <c r="K41" s="7">
        <v>31024.179128321171</v>
      </c>
      <c r="L41" s="7">
        <v>32801.804909056147</v>
      </c>
      <c r="M41" s="7">
        <v>34432.346326620464</v>
      </c>
      <c r="N41" s="7">
        <v>35909.896046217844</v>
      </c>
      <c r="O41" s="7">
        <v>37230.512779174518</v>
      </c>
      <c r="P41" s="7">
        <v>38392.310075022498</v>
      </c>
      <c r="Q41" s="7">
        <v>39395.556618077833</v>
      </c>
      <c r="R41" s="7">
        <v>40242.522560045523</v>
      </c>
    </row>
    <row r="42" spans="1:18" x14ac:dyDescent="0.25">
      <c r="A42" s="12"/>
      <c r="B42" s="4">
        <v>55</v>
      </c>
      <c r="C42" s="7">
        <v>12793.408378265018</v>
      </c>
      <c r="D42" s="7">
        <v>15303.722484966445</v>
      </c>
      <c r="E42" s="7">
        <v>17763.627874599439</v>
      </c>
      <c r="F42" s="7">
        <v>20157.18480231315</v>
      </c>
      <c r="G42" s="7">
        <v>22468.799027168752</v>
      </c>
      <c r="H42" s="7">
        <v>24682.783624409811</v>
      </c>
      <c r="I42" s="7">
        <v>26784.475645602804</v>
      </c>
      <c r="J42" s="7">
        <v>28760.495810260567</v>
      </c>
      <c r="K42" s="7">
        <v>30600.180520589809</v>
      </c>
      <c r="L42" s="7">
        <v>32294.607630209266</v>
      </c>
      <c r="M42" s="7">
        <v>33836.867289906011</v>
      </c>
      <c r="N42" s="7">
        <v>35222.085797618704</v>
      </c>
      <c r="O42" s="7">
        <v>36447.534220897913</v>
      </c>
      <c r="P42" s="7">
        <v>37512.746060566409</v>
      </c>
      <c r="Q42" s="7">
        <v>38419.380294241208</v>
      </c>
      <c r="R42" s="7">
        <v>39170.979084689105</v>
      </c>
    </row>
    <row r="43" spans="1:18" x14ac:dyDescent="0.25">
      <c r="A43" s="12"/>
      <c r="B43" s="4">
        <v>56</v>
      </c>
      <c r="C43" s="7">
        <v>12756.02181132479</v>
      </c>
      <c r="D43" s="7">
        <v>15242.228562239043</v>
      </c>
      <c r="E43" s="7">
        <v>17670.176282065302</v>
      </c>
      <c r="F43" s="7">
        <v>20023.599271207069</v>
      </c>
      <c r="G43" s="7">
        <v>22286.047106487065</v>
      </c>
      <c r="H43" s="7">
        <v>24441.904804394599</v>
      </c>
      <c r="I43" s="7">
        <v>26476.753008789081</v>
      </c>
      <c r="J43" s="7">
        <v>28378.777750278765</v>
      </c>
      <c r="K43" s="7">
        <v>30137.949311440749</v>
      </c>
      <c r="L43" s="7">
        <v>31746.275314130704</v>
      </c>
      <c r="M43" s="7">
        <v>33197.862068355389</v>
      </c>
      <c r="N43" s="7">
        <v>34489.047194001068</v>
      </c>
      <c r="O43" s="7">
        <v>35618.538748868719</v>
      </c>
      <c r="P43" s="7">
        <v>36587.299157299298</v>
      </c>
      <c r="Q43" s="7">
        <v>37398.31207654201</v>
      </c>
      <c r="R43" s="7">
        <v>38056.280426149402</v>
      </c>
    </row>
    <row r="44" spans="1:18" x14ac:dyDescent="0.25">
      <c r="A44" s="12"/>
      <c r="B44" s="4">
        <v>57</v>
      </c>
      <c r="C44" s="7">
        <v>12710.589782458637</v>
      </c>
      <c r="D44" s="7">
        <v>15168.972376799533</v>
      </c>
      <c r="E44" s="7">
        <v>17560.990146547701</v>
      </c>
      <c r="F44" s="7">
        <v>19869.464728973428</v>
      </c>
      <c r="G44" s="7">
        <v>22077.836040823087</v>
      </c>
      <c r="H44" s="7">
        <v>24170.626670504756</v>
      </c>
      <c r="I44" s="7">
        <v>26134.825541768652</v>
      </c>
      <c r="J44" s="7">
        <v>27959.232112491103</v>
      </c>
      <c r="K44" s="7">
        <v>29634.69228257881</v>
      </c>
      <c r="L44" s="7">
        <v>31154.202426030719</v>
      </c>
      <c r="M44" s="7">
        <v>32513.070650859023</v>
      </c>
      <c r="N44" s="7">
        <v>33709.082085542279</v>
      </c>
      <c r="O44" s="7">
        <v>34742.408606825105</v>
      </c>
      <c r="P44" s="7">
        <v>35615.388708377359</v>
      </c>
      <c r="Q44" s="7">
        <v>36332.228250570566</v>
      </c>
      <c r="R44" s="7">
        <v>36898.750576935636</v>
      </c>
    </row>
    <row r="45" spans="1:18" x14ac:dyDescent="0.25">
      <c r="A45" s="12"/>
      <c r="B45" s="4">
        <v>58</v>
      </c>
      <c r="C45" s="7">
        <v>12658.54656355551</v>
      </c>
      <c r="D45" s="7">
        <v>15086.27616669682</v>
      </c>
      <c r="E45" s="7">
        <v>17438.753671980408</v>
      </c>
      <c r="F45" s="7">
        <v>19698.480408815645</v>
      </c>
      <c r="G45" s="7">
        <v>21848.89832817483</v>
      </c>
      <c r="H45" s="7">
        <v>23875.743979805622</v>
      </c>
      <c r="I45" s="7">
        <v>25766.570451484997</v>
      </c>
      <c r="J45" s="7">
        <v>27510.967276748648</v>
      </c>
      <c r="K45" s="7">
        <v>29100.713187576206</v>
      </c>
      <c r="L45" s="7">
        <v>30529.971710760925</v>
      </c>
      <c r="M45" s="7">
        <v>31795.488488329545</v>
      </c>
      <c r="N45" s="7">
        <v>32896.532785791467</v>
      </c>
      <c r="O45" s="7">
        <v>33834.695082681472</v>
      </c>
      <c r="P45" s="7">
        <v>34613.59388119918</v>
      </c>
      <c r="Q45" s="7">
        <v>35238.621333231065</v>
      </c>
      <c r="R45" s="7">
        <v>35716.801635990625</v>
      </c>
    </row>
    <row r="46" spans="1:18" x14ac:dyDescent="0.25">
      <c r="A46" s="12"/>
      <c r="B46" s="4">
        <v>59</v>
      </c>
      <c r="C46" s="7">
        <v>12599.89355389658</v>
      </c>
      <c r="D46" s="7">
        <v>14993.958839033479</v>
      </c>
      <c r="E46" s="7">
        <v>17303.582010465951</v>
      </c>
      <c r="F46" s="7">
        <v>19511.11164442942</v>
      </c>
      <c r="G46" s="7">
        <v>21600.981018707273</v>
      </c>
      <c r="H46" s="7">
        <v>23559.420560516046</v>
      </c>
      <c r="I46" s="7">
        <v>25374.662936066292</v>
      </c>
      <c r="J46" s="7">
        <v>27037.151199014002</v>
      </c>
      <c r="K46" s="7">
        <v>28539.775321826517</v>
      </c>
      <c r="L46" s="7">
        <v>29878.108565390205</v>
      </c>
      <c r="M46" s="7">
        <v>31050.388022872881</v>
      </c>
      <c r="N46" s="7">
        <v>32057.335840079166</v>
      </c>
      <c r="O46" s="7">
        <v>32901.876424295653</v>
      </c>
      <c r="P46" s="7">
        <v>33588.880252351672</v>
      </c>
      <c r="Q46" s="7">
        <v>34125.013130208798</v>
      </c>
      <c r="R46" s="7">
        <v>34518.286774570151</v>
      </c>
    </row>
    <row r="47" spans="1:18" x14ac:dyDescent="0.25">
      <c r="A47" s="12"/>
      <c r="B47" s="4">
        <v>60</v>
      </c>
      <c r="C47" s="7">
        <v>12536.895060514864</v>
      </c>
      <c r="D47" s="7">
        <v>14895.087987453178</v>
      </c>
      <c r="E47" s="7">
        <v>17159.481642352817</v>
      </c>
      <c r="F47" s="7">
        <v>19313.153217180792</v>
      </c>
      <c r="G47" s="7">
        <v>21340.925653052436</v>
      </c>
      <c r="H47" s="7">
        <v>23229.559313946356</v>
      </c>
      <c r="I47" s="7">
        <v>24968.023179899639</v>
      </c>
      <c r="J47" s="7">
        <v>26547.780286047935</v>
      </c>
      <c r="K47" s="7">
        <v>27963.071869555893</v>
      </c>
      <c r="L47" s="7">
        <v>29210.946005807979</v>
      </c>
      <c r="M47" s="7">
        <v>30291.110006031111</v>
      </c>
      <c r="N47" s="7">
        <v>31205.663711301895</v>
      </c>
      <c r="O47" s="7">
        <v>31958.84517245465</v>
      </c>
      <c r="P47" s="7">
        <v>32556.872876572412</v>
      </c>
      <c r="Q47" s="7">
        <v>33007.487496407768</v>
      </c>
      <c r="R47" s="7">
        <v>33319.387700349478</v>
      </c>
    </row>
  </sheetData>
  <mergeCells count="4">
    <mergeCell ref="A5:A47"/>
    <mergeCell ref="A3:B4"/>
    <mergeCell ref="C3:R3"/>
    <mergeCell ref="C1:R1"/>
  </mergeCells>
  <phoneticPr fontId="6" type="noConversion"/>
  <printOptions horizontalCentered="1" verticalCentered="1"/>
  <pageMargins left="0.70866141732283472" right="0.70866141732283472" top="1.11825" bottom="0.74803149606299213" header="0.31496062992125984" footer="0.31496062992125984"/>
  <pageSetup paperSize="9" scale="71" orientation="landscape" r:id="rId1"/>
  <headerFooter>
    <oddHeader>&amp;L&amp;G&amp;C&amp;"Cambria,Gras"&amp;14TARIF CORIS ETUDE DE CORIS ASSURANCES VIE CI</oddHead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TARIF A RENTE FIXEE</vt:lpstr>
      <vt:lpstr>TARIF A PRIME FIXEE</vt:lpstr>
      <vt:lpstr>'TARIF A PRIME FIXEE'!Zone_d_impression</vt:lpstr>
      <vt:lpstr>'TARIF A RENTE FIXEE'!Zone_d_impression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Kiswendsida G. Telesphore KABORE</dc:creator>
  <cp:lastModifiedBy>Sié Alain KAMBIRE</cp:lastModifiedBy>
  <cp:lastPrinted>2025-04-30T17:17:01Z</cp:lastPrinted>
  <dcterms:created xsi:type="dcterms:W3CDTF">2023-04-11T14:18:15Z</dcterms:created>
  <dcterms:modified xsi:type="dcterms:W3CDTF">2025-05-28T11:52:29Z</dcterms:modified>
</cp:coreProperties>
</file>