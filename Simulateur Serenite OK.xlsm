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orisinvestgroup-my.sharepoint.com/personal/nkore_coris-assurances_com/Documents/DIRECTION TECHNIQUE/ACTUARIAT/Simulateurs Produits/"/>
    </mc:Choice>
  </mc:AlternateContent>
  <xr:revisionPtr revIDLastSave="157" documentId="8_{08C09ABE-6A70-44CA-A9E0-E3480E32B3D8}" xr6:coauthVersionLast="47" xr6:coauthVersionMax="47" xr10:uidLastSave="{7B823E56-8B45-4501-8327-AFC663F6EB73}"/>
  <bookViews>
    <workbookView xWindow="-108" yWindow="-108" windowWidth="23256" windowHeight="13896" firstSheet="1" activeTab="4" xr2:uid="{CA928B68-EBD4-474E-B7E2-904B76459A96}"/>
  </bookViews>
  <sheets>
    <sheet name="SERENITE" sheetId="1" r:id="rId1"/>
    <sheet name="SERENITE Capital" sheetId="7" r:id="rId2"/>
    <sheet name="CIMA H" sheetId="2" r:id="rId3"/>
    <sheet name="TARIF - Pour 1000F de prime M" sheetId="5" r:id="rId4"/>
    <sheet name="TARIF M - Pour 1000F de capital" sheetId="6" r:id="rId5"/>
    <sheet name="TARIF A - Pour 1000F de capital" sheetId="4" r:id="rId6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7" l="1"/>
  <c r="G50" i="7"/>
  <c r="D47" i="7"/>
  <c r="H42" i="7"/>
  <c r="J42" i="7" s="1"/>
  <c r="J43" i="7" s="1"/>
  <c r="H38" i="7"/>
  <c r="D25" i="7"/>
  <c r="D24" i="7"/>
  <c r="B22" i="7"/>
  <c r="B21" i="7"/>
  <c r="B20" i="7"/>
  <c r="B40" i="7" s="1"/>
  <c r="F19" i="7"/>
  <c r="F21" i="7" s="1"/>
  <c r="B19" i="7"/>
  <c r="B11" i="7"/>
  <c r="B9" i="7"/>
  <c r="B3" i="7"/>
  <c r="B17" i="7" s="1"/>
  <c r="B23" i="7" l="1"/>
  <c r="B16" i="7"/>
  <c r="B44" i="7" l="1"/>
  <c r="B27" i="7"/>
  <c r="B26" i="7"/>
  <c r="B25" i="7"/>
  <c r="B42" i="7"/>
  <c r="B43" i="7"/>
  <c r="B24" i="7"/>
  <c r="B41" i="7"/>
  <c r="C41" i="7" l="1"/>
  <c r="B33" i="7"/>
  <c r="B31" i="7"/>
  <c r="B32" i="7" s="1"/>
  <c r="B37" i="7"/>
  <c r="B36" i="7"/>
  <c r="B28" i="7"/>
  <c r="D43" i="7" s="1"/>
  <c r="B45" i="7"/>
  <c r="B29" i="7" l="1"/>
  <c r="C45" i="7"/>
  <c r="B46" i="7"/>
  <c r="B38" i="7"/>
  <c r="F52" i="7" s="1"/>
  <c r="C37" i="7"/>
  <c r="G45" i="7" s="1"/>
  <c r="B47" i="7"/>
  <c r="B34" i="7"/>
  <c r="B35" i="7" l="1"/>
  <c r="G34" i="7"/>
  <c r="D45" i="7"/>
  <c r="B48" i="7"/>
  <c r="B49" i="7" s="1"/>
  <c r="B3" i="1" l="1"/>
  <c r="B15" i="1" s="1"/>
  <c r="F18" i="1"/>
  <c r="F20" i="1" s="1"/>
  <c r="J39" i="1"/>
  <c r="J40" i="1" s="1"/>
  <c r="H39" i="1"/>
  <c r="H35" i="1"/>
  <c r="G47" i="1"/>
  <c r="D44" i="1"/>
  <c r="D24" i="1"/>
  <c r="D23" i="1"/>
  <c r="B21" i="1"/>
  <c r="L115" i="2"/>
  <c r="G115" i="2"/>
  <c r="H115" i="2" s="1"/>
  <c r="I115" i="2" s="1"/>
  <c r="J115" i="2" s="1"/>
  <c r="E115" i="2"/>
  <c r="F115" i="2" s="1"/>
  <c r="D115" i="2"/>
  <c r="G114" i="2"/>
  <c r="L114" i="2" s="1"/>
  <c r="D114" i="2"/>
  <c r="G113" i="2"/>
  <c r="D113" i="2"/>
  <c r="G112" i="2"/>
  <c r="L112" i="2" s="1"/>
  <c r="D112" i="2"/>
  <c r="G111" i="2"/>
  <c r="D111" i="2"/>
  <c r="G110" i="2"/>
  <c r="L110" i="2" s="1"/>
  <c r="D110" i="2"/>
  <c r="G109" i="2"/>
  <c r="H109" i="2" s="1"/>
  <c r="D109" i="2"/>
  <c r="G108" i="2"/>
  <c r="H108" i="2" s="1"/>
  <c r="D108" i="2"/>
  <c r="G107" i="2"/>
  <c r="L107" i="2" s="1"/>
  <c r="D107" i="2"/>
  <c r="G106" i="2"/>
  <c r="L106" i="2" s="1"/>
  <c r="D106" i="2"/>
  <c r="G105" i="2"/>
  <c r="E105" i="2"/>
  <c r="D105" i="2"/>
  <c r="G104" i="2"/>
  <c r="L104" i="2" s="1"/>
  <c r="D104" i="2"/>
  <c r="G103" i="2"/>
  <c r="D103" i="2"/>
  <c r="H102" i="2"/>
  <c r="G102" i="2"/>
  <c r="L102" i="2" s="1"/>
  <c r="D102" i="2"/>
  <c r="L101" i="2"/>
  <c r="H101" i="2"/>
  <c r="G101" i="2"/>
  <c r="D101" i="2"/>
  <c r="G100" i="2"/>
  <c r="H100" i="2" s="1"/>
  <c r="D100" i="2"/>
  <c r="G99" i="2"/>
  <c r="L99" i="2" s="1"/>
  <c r="D99" i="2"/>
  <c r="E99" i="2" s="1"/>
  <c r="L98" i="2"/>
  <c r="G98" i="2"/>
  <c r="H98" i="2" s="1"/>
  <c r="D98" i="2"/>
  <c r="G97" i="2"/>
  <c r="D97" i="2"/>
  <c r="G96" i="2"/>
  <c r="L96" i="2" s="1"/>
  <c r="D96" i="2"/>
  <c r="G95" i="2"/>
  <c r="D95" i="2"/>
  <c r="H94" i="2"/>
  <c r="G94" i="2"/>
  <c r="L94" i="2" s="1"/>
  <c r="D94" i="2"/>
  <c r="G93" i="2"/>
  <c r="H93" i="2" s="1"/>
  <c r="D93" i="2"/>
  <c r="G92" i="2"/>
  <c r="L92" i="2" s="1"/>
  <c r="D92" i="2"/>
  <c r="G91" i="2"/>
  <c r="L91" i="2" s="1"/>
  <c r="D91" i="2"/>
  <c r="L90" i="2"/>
  <c r="H90" i="2"/>
  <c r="G90" i="2"/>
  <c r="D90" i="2"/>
  <c r="G89" i="2"/>
  <c r="D89" i="2"/>
  <c r="G88" i="2"/>
  <c r="L88" i="2" s="1"/>
  <c r="D88" i="2"/>
  <c r="G87" i="2"/>
  <c r="D87" i="2"/>
  <c r="H86" i="2"/>
  <c r="G86" i="2"/>
  <c r="L86" i="2" s="1"/>
  <c r="D86" i="2"/>
  <c r="L85" i="2"/>
  <c r="H85" i="2"/>
  <c r="G85" i="2"/>
  <c r="D85" i="2"/>
  <c r="G84" i="2"/>
  <c r="L84" i="2" s="1"/>
  <c r="D84" i="2"/>
  <c r="L83" i="2"/>
  <c r="G83" i="2"/>
  <c r="H83" i="2" s="1"/>
  <c r="D83" i="2"/>
  <c r="G82" i="2"/>
  <c r="L82" i="2" s="1"/>
  <c r="D82" i="2"/>
  <c r="G81" i="2"/>
  <c r="D81" i="2"/>
  <c r="G80" i="2"/>
  <c r="L80" i="2" s="1"/>
  <c r="D80" i="2"/>
  <c r="G79" i="2"/>
  <c r="D79" i="2"/>
  <c r="G78" i="2"/>
  <c r="L78" i="2" s="1"/>
  <c r="D78" i="2"/>
  <c r="G77" i="2"/>
  <c r="H77" i="2" s="1"/>
  <c r="D77" i="2"/>
  <c r="G76" i="2"/>
  <c r="L76" i="2" s="1"/>
  <c r="D76" i="2"/>
  <c r="H75" i="2"/>
  <c r="G75" i="2"/>
  <c r="L75" i="2" s="1"/>
  <c r="D75" i="2"/>
  <c r="L74" i="2"/>
  <c r="H74" i="2"/>
  <c r="G74" i="2"/>
  <c r="D74" i="2"/>
  <c r="G73" i="2"/>
  <c r="D73" i="2"/>
  <c r="H72" i="2"/>
  <c r="G72" i="2"/>
  <c r="L72" i="2" s="1"/>
  <c r="D72" i="2"/>
  <c r="G71" i="2"/>
  <c r="D71" i="2"/>
  <c r="G70" i="2"/>
  <c r="L70" i="2" s="1"/>
  <c r="D70" i="2"/>
  <c r="E67" i="2" s="1"/>
  <c r="L69" i="2"/>
  <c r="H69" i="2"/>
  <c r="G69" i="2"/>
  <c r="D69" i="2"/>
  <c r="G68" i="2"/>
  <c r="L68" i="2" s="1"/>
  <c r="D68" i="2"/>
  <c r="G67" i="2"/>
  <c r="H67" i="2" s="1"/>
  <c r="D67" i="2"/>
  <c r="G66" i="2"/>
  <c r="L66" i="2" s="1"/>
  <c r="D66" i="2"/>
  <c r="G65" i="2"/>
  <c r="D65" i="2"/>
  <c r="G64" i="2"/>
  <c r="L64" i="2" s="1"/>
  <c r="D64" i="2"/>
  <c r="G63" i="2"/>
  <c r="D63" i="2"/>
  <c r="G62" i="2"/>
  <c r="L62" i="2" s="1"/>
  <c r="D62" i="2"/>
  <c r="G61" i="2"/>
  <c r="H61" i="2" s="1"/>
  <c r="D61" i="2"/>
  <c r="G60" i="2"/>
  <c r="L60" i="2" s="1"/>
  <c r="D60" i="2"/>
  <c r="G59" i="2"/>
  <c r="H59" i="2" s="1"/>
  <c r="D59" i="2"/>
  <c r="E59" i="2" s="1"/>
  <c r="G58" i="2"/>
  <c r="L58" i="2" s="1"/>
  <c r="D58" i="2"/>
  <c r="G57" i="2"/>
  <c r="D57" i="2"/>
  <c r="E57" i="2" s="1"/>
  <c r="G56" i="2"/>
  <c r="L56" i="2" s="1"/>
  <c r="D56" i="2"/>
  <c r="G55" i="2"/>
  <c r="D55" i="2"/>
  <c r="G54" i="2"/>
  <c r="L54" i="2" s="1"/>
  <c r="D54" i="2"/>
  <c r="L53" i="2"/>
  <c r="H53" i="2"/>
  <c r="G53" i="2"/>
  <c r="D53" i="2"/>
  <c r="G52" i="2"/>
  <c r="L52" i="2" s="1"/>
  <c r="D52" i="2"/>
  <c r="G51" i="2"/>
  <c r="H51" i="2" s="1"/>
  <c r="D51" i="2"/>
  <c r="E51" i="2" s="1"/>
  <c r="H50" i="2"/>
  <c r="G50" i="2"/>
  <c r="L50" i="2" s="1"/>
  <c r="D50" i="2"/>
  <c r="G49" i="2"/>
  <c r="D49" i="2"/>
  <c r="G48" i="2"/>
  <c r="L48" i="2" s="1"/>
  <c r="D48" i="2"/>
  <c r="G47" i="2"/>
  <c r="D47" i="2"/>
  <c r="G46" i="2"/>
  <c r="L46" i="2" s="1"/>
  <c r="D46" i="2"/>
  <c r="G45" i="2"/>
  <c r="L45" i="2" s="1"/>
  <c r="D45" i="2"/>
  <c r="G44" i="2"/>
  <c r="L44" i="2" s="1"/>
  <c r="D44" i="2"/>
  <c r="L43" i="2"/>
  <c r="G43" i="2"/>
  <c r="H43" i="2" s="1"/>
  <c r="D43" i="2"/>
  <c r="G42" i="2"/>
  <c r="H42" i="2" s="1"/>
  <c r="D42" i="2"/>
  <c r="G41" i="2"/>
  <c r="D41" i="2"/>
  <c r="G40" i="2"/>
  <c r="L40" i="2" s="1"/>
  <c r="D40" i="2"/>
  <c r="G39" i="2"/>
  <c r="D39" i="2"/>
  <c r="G38" i="2"/>
  <c r="L38" i="2" s="1"/>
  <c r="D38" i="2"/>
  <c r="G37" i="2"/>
  <c r="H37" i="2" s="1"/>
  <c r="D37" i="2"/>
  <c r="G36" i="2"/>
  <c r="L36" i="2" s="1"/>
  <c r="D36" i="2"/>
  <c r="L35" i="2"/>
  <c r="G35" i="2"/>
  <c r="H35" i="2" s="1"/>
  <c r="D35" i="2"/>
  <c r="G34" i="2"/>
  <c r="L34" i="2" s="1"/>
  <c r="D34" i="2"/>
  <c r="G33" i="2"/>
  <c r="D33" i="2"/>
  <c r="G32" i="2"/>
  <c r="L32" i="2" s="1"/>
  <c r="D32" i="2"/>
  <c r="G31" i="2"/>
  <c r="D31" i="2"/>
  <c r="G30" i="2"/>
  <c r="L30" i="2" s="1"/>
  <c r="D30" i="2"/>
  <c r="G29" i="2"/>
  <c r="H29" i="2" s="1"/>
  <c r="D29" i="2"/>
  <c r="H28" i="2"/>
  <c r="G28" i="2"/>
  <c r="L28" i="2" s="1"/>
  <c r="D28" i="2"/>
  <c r="G27" i="2"/>
  <c r="H27" i="2" s="1"/>
  <c r="D27" i="2"/>
  <c r="H26" i="2"/>
  <c r="G26" i="2"/>
  <c r="L26" i="2" s="1"/>
  <c r="D26" i="2"/>
  <c r="G25" i="2"/>
  <c r="D25" i="2"/>
  <c r="G24" i="2"/>
  <c r="L24" i="2" s="1"/>
  <c r="D24" i="2"/>
  <c r="G23" i="2"/>
  <c r="D23" i="2"/>
  <c r="G22" i="2"/>
  <c r="L22" i="2" s="1"/>
  <c r="D22" i="2"/>
  <c r="G21" i="2"/>
  <c r="H21" i="2" s="1"/>
  <c r="D21" i="2"/>
  <c r="H20" i="2"/>
  <c r="G20" i="2"/>
  <c r="L20" i="2" s="1"/>
  <c r="D20" i="2"/>
  <c r="G19" i="2"/>
  <c r="H19" i="2" s="1"/>
  <c r="D19" i="2"/>
  <c r="G18" i="2"/>
  <c r="D18" i="2"/>
  <c r="G17" i="2"/>
  <c r="L17" i="2" s="1"/>
  <c r="D17" i="2"/>
  <c r="G16" i="2"/>
  <c r="L16" i="2" s="1"/>
  <c r="D16" i="2"/>
  <c r="G15" i="2"/>
  <c r="H15" i="2" s="1"/>
  <c r="D15" i="2"/>
  <c r="G14" i="2"/>
  <c r="H14" i="2" s="1"/>
  <c r="D14" i="2"/>
  <c r="G13" i="2"/>
  <c r="L13" i="2" s="1"/>
  <c r="D13" i="2"/>
  <c r="G12" i="2"/>
  <c r="L12" i="2" s="1"/>
  <c r="D12" i="2"/>
  <c r="H11" i="2"/>
  <c r="G11" i="2"/>
  <c r="L11" i="2" s="1"/>
  <c r="D11" i="2"/>
  <c r="G10" i="2"/>
  <c r="L10" i="2" s="1"/>
  <c r="D10" i="2"/>
  <c r="H9" i="2"/>
  <c r="G9" i="2"/>
  <c r="L9" i="2" s="1"/>
  <c r="D9" i="2"/>
  <c r="G8" i="2"/>
  <c r="H8" i="2" s="1"/>
  <c r="D8" i="2"/>
  <c r="G7" i="2"/>
  <c r="H7" i="2" s="1"/>
  <c r="D7" i="2"/>
  <c r="G6" i="2"/>
  <c r="H6" i="2" s="1"/>
  <c r="D6" i="2"/>
  <c r="G5" i="2"/>
  <c r="L5" i="2" s="1"/>
  <c r="M5" i="2" s="1"/>
  <c r="D5" i="2"/>
  <c r="L6" i="2" l="1"/>
  <c r="H62" i="2"/>
  <c r="E16" i="2"/>
  <c r="H24" i="2"/>
  <c r="H32" i="2"/>
  <c r="H48" i="2"/>
  <c r="H70" i="2"/>
  <c r="L77" i="2"/>
  <c r="H99" i="2"/>
  <c r="H106" i="2"/>
  <c r="E92" i="2"/>
  <c r="E71" i="2"/>
  <c r="L42" i="2"/>
  <c r="L93" i="2"/>
  <c r="L100" i="2"/>
  <c r="H107" i="2"/>
  <c r="L14" i="2"/>
  <c r="H112" i="2"/>
  <c r="I112" i="2" s="1"/>
  <c r="E17" i="2"/>
  <c r="E9" i="2"/>
  <c r="H64" i="2"/>
  <c r="H78" i="2"/>
  <c r="E43" i="2"/>
  <c r="E73" i="2"/>
  <c r="L108" i="2"/>
  <c r="H91" i="2"/>
  <c r="L19" i="2"/>
  <c r="L27" i="2"/>
  <c r="H58" i="2"/>
  <c r="H66" i="2"/>
  <c r="H80" i="2"/>
  <c r="E11" i="2"/>
  <c r="H36" i="2"/>
  <c r="H44" i="2"/>
  <c r="L51" i="2"/>
  <c r="H88" i="2"/>
  <c r="E15" i="2"/>
  <c r="E84" i="2"/>
  <c r="E55" i="2"/>
  <c r="E10" i="2"/>
  <c r="L37" i="2"/>
  <c r="H45" i="2"/>
  <c r="L67" i="2"/>
  <c r="H82" i="2"/>
  <c r="E89" i="2"/>
  <c r="L109" i="2"/>
  <c r="E5" i="2"/>
  <c r="E8" i="2"/>
  <c r="L21" i="2"/>
  <c r="L29" i="2"/>
  <c r="H54" i="2"/>
  <c r="E14" i="2"/>
  <c r="E103" i="2"/>
  <c r="M6" i="2"/>
  <c r="M7" i="2" s="1"/>
  <c r="M8" i="2" s="1"/>
  <c r="M9" i="2" s="1"/>
  <c r="M10" i="2" s="1"/>
  <c r="M11" i="2" s="1"/>
  <c r="M12" i="2" s="1"/>
  <c r="M13" i="2" s="1"/>
  <c r="M14" i="2" s="1"/>
  <c r="M15" i="2" s="1"/>
  <c r="M16" i="2" s="1"/>
  <c r="M17" i="2" s="1"/>
  <c r="M18" i="2" s="1"/>
  <c r="M19" i="2" s="1"/>
  <c r="M20" i="2" s="1"/>
  <c r="M21" i="2" s="1"/>
  <c r="M22" i="2" s="1"/>
  <c r="M23" i="2" s="1"/>
  <c r="M24" i="2" s="1"/>
  <c r="M25" i="2" s="1"/>
  <c r="M26" i="2" s="1"/>
  <c r="M27" i="2" s="1"/>
  <c r="M28" i="2" s="1"/>
  <c r="M29" i="2" s="1"/>
  <c r="M30" i="2" s="1"/>
  <c r="M31" i="2" s="1"/>
  <c r="M32" i="2" s="1"/>
  <c r="M33" i="2" s="1"/>
  <c r="M34" i="2" s="1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M46" i="2" s="1"/>
  <c r="M47" i="2" s="1"/>
  <c r="M48" i="2" s="1"/>
  <c r="M49" i="2" s="1"/>
  <c r="M50" i="2" s="1"/>
  <c r="M51" i="2" s="1"/>
  <c r="M52" i="2" s="1"/>
  <c r="M53" i="2" s="1"/>
  <c r="M54" i="2" s="1"/>
  <c r="M55" i="2" s="1"/>
  <c r="M56" i="2" s="1"/>
  <c r="M57" i="2" s="1"/>
  <c r="M58" i="2" s="1"/>
  <c r="M59" i="2" s="1"/>
  <c r="M60" i="2" s="1"/>
  <c r="M61" i="2" s="1"/>
  <c r="M62" i="2" s="1"/>
  <c r="M63" i="2" s="1"/>
  <c r="M64" i="2" s="1"/>
  <c r="M65" i="2" s="1"/>
  <c r="M66" i="2" s="1"/>
  <c r="M67" i="2" s="1"/>
  <c r="M68" i="2" s="1"/>
  <c r="M69" i="2" s="1"/>
  <c r="M70" i="2" s="1"/>
  <c r="M71" i="2" s="1"/>
  <c r="M72" i="2" s="1"/>
  <c r="M73" i="2" s="1"/>
  <c r="M74" i="2" s="1"/>
  <c r="M75" i="2" s="1"/>
  <c r="M76" i="2" s="1"/>
  <c r="M77" i="2" s="1"/>
  <c r="M78" i="2" s="1"/>
  <c r="M79" i="2" s="1"/>
  <c r="M80" i="2" s="1"/>
  <c r="M81" i="2" s="1"/>
  <c r="M82" i="2" s="1"/>
  <c r="M83" i="2" s="1"/>
  <c r="M84" i="2" s="1"/>
  <c r="M85" i="2" s="1"/>
  <c r="M86" i="2" s="1"/>
  <c r="M87" i="2" s="1"/>
  <c r="M88" i="2" s="1"/>
  <c r="M89" i="2" s="1"/>
  <c r="M90" i="2" s="1"/>
  <c r="M91" i="2" s="1"/>
  <c r="M92" i="2" s="1"/>
  <c r="M93" i="2" s="1"/>
  <c r="M94" i="2" s="1"/>
  <c r="M95" i="2" s="1"/>
  <c r="M96" i="2" s="1"/>
  <c r="M97" i="2" s="1"/>
  <c r="M98" i="2" s="1"/>
  <c r="M99" i="2" s="1"/>
  <c r="M100" i="2" s="1"/>
  <c r="M101" i="2" s="1"/>
  <c r="M102" i="2" s="1"/>
  <c r="M103" i="2" s="1"/>
  <c r="M104" i="2" s="1"/>
  <c r="M105" i="2" s="1"/>
  <c r="M106" i="2" s="1"/>
  <c r="M107" i="2" s="1"/>
  <c r="M108" i="2" s="1"/>
  <c r="M109" i="2" s="1"/>
  <c r="M110" i="2" s="1"/>
  <c r="M111" i="2" s="1"/>
  <c r="M112" i="2" s="1"/>
  <c r="M113" i="2" s="1"/>
  <c r="M114" i="2" s="1"/>
  <c r="M115" i="2" s="1"/>
  <c r="H5" i="2"/>
  <c r="H13" i="2"/>
  <c r="H38" i="2"/>
  <c r="H104" i="2"/>
  <c r="H110" i="2"/>
  <c r="E7" i="2"/>
  <c r="H40" i="2"/>
  <c r="L8" i="2"/>
  <c r="H56" i="2"/>
  <c r="L59" i="2"/>
  <c r="H96" i="2"/>
  <c r="H22" i="2"/>
  <c r="H30" i="2"/>
  <c r="H46" i="2"/>
  <c r="L61" i="2"/>
  <c r="H23" i="2"/>
  <c r="L23" i="2"/>
  <c r="H95" i="2"/>
  <c r="L95" i="2"/>
  <c r="L97" i="2"/>
  <c r="H97" i="2"/>
  <c r="E114" i="2"/>
  <c r="F114" i="2" s="1"/>
  <c r="E112" i="2"/>
  <c r="E111" i="2"/>
  <c r="F111" i="2" s="1"/>
  <c r="E110" i="2"/>
  <c r="E109" i="2"/>
  <c r="L7" i="2"/>
  <c r="H10" i="2"/>
  <c r="E13" i="2"/>
  <c r="L15" i="2"/>
  <c r="E18" i="2"/>
  <c r="E26" i="2"/>
  <c r="E23" i="2"/>
  <c r="E21" i="2"/>
  <c r="E34" i="2"/>
  <c r="E31" i="2"/>
  <c r="E36" i="2"/>
  <c r="E44" i="2"/>
  <c r="E50" i="2"/>
  <c r="E48" i="2"/>
  <c r="E45" i="2"/>
  <c r="H55" i="2"/>
  <c r="L55" i="2"/>
  <c r="L57" i="2"/>
  <c r="H57" i="2"/>
  <c r="E66" i="2"/>
  <c r="E64" i="2"/>
  <c r="E61" i="2"/>
  <c r="H71" i="2"/>
  <c r="L71" i="2"/>
  <c r="E98" i="2"/>
  <c r="E96" i="2"/>
  <c r="E94" i="2"/>
  <c r="E101" i="2"/>
  <c r="H47" i="2"/>
  <c r="L47" i="2"/>
  <c r="E6" i="2"/>
  <c r="E32" i="2"/>
  <c r="E75" i="2"/>
  <c r="H12" i="2"/>
  <c r="L18" i="2"/>
  <c r="H18" i="2"/>
  <c r="E22" i="2"/>
  <c r="E30" i="2"/>
  <c r="E46" i="2"/>
  <c r="E52" i="2"/>
  <c r="E60" i="2"/>
  <c r="E62" i="2"/>
  <c r="E68" i="2"/>
  <c r="E74" i="2"/>
  <c r="E72" i="2"/>
  <c r="E69" i="2"/>
  <c r="E79" i="2"/>
  <c r="E81" i="2"/>
  <c r="H103" i="2"/>
  <c r="I99" i="2" s="1"/>
  <c r="L103" i="2"/>
  <c r="L105" i="2"/>
  <c r="H105" i="2"/>
  <c r="E107" i="2"/>
  <c r="L33" i="2"/>
  <c r="H33" i="2"/>
  <c r="L49" i="2"/>
  <c r="H49" i="2"/>
  <c r="H63" i="2"/>
  <c r="L63" i="2"/>
  <c r="E28" i="2"/>
  <c r="E38" i="2"/>
  <c r="E54" i="2"/>
  <c r="E70" i="2"/>
  <c r="H79" i="2"/>
  <c r="L79" i="2"/>
  <c r="L81" i="2"/>
  <c r="H81" i="2"/>
  <c r="E83" i="2"/>
  <c r="E100" i="2"/>
  <c r="E106" i="2"/>
  <c r="E104" i="2"/>
  <c r="E102" i="2"/>
  <c r="L25" i="2"/>
  <c r="H25" i="2"/>
  <c r="H17" i="2"/>
  <c r="E82" i="2"/>
  <c r="E80" i="2"/>
  <c r="E78" i="2"/>
  <c r="E77" i="2"/>
  <c r="E87" i="2"/>
  <c r="E12" i="2"/>
  <c r="E42" i="2"/>
  <c r="E40" i="2"/>
  <c r="E39" i="2"/>
  <c r="L65" i="2"/>
  <c r="H65" i="2"/>
  <c r="E20" i="2"/>
  <c r="L73" i="2"/>
  <c r="H73" i="2"/>
  <c r="H16" i="2"/>
  <c r="E35" i="2"/>
  <c r="E37" i="2"/>
  <c r="E41" i="2"/>
  <c r="E76" i="2"/>
  <c r="H87" i="2"/>
  <c r="L87" i="2"/>
  <c r="L89" i="2"/>
  <c r="H89" i="2"/>
  <c r="E91" i="2"/>
  <c r="E113" i="2"/>
  <c r="H31" i="2"/>
  <c r="L31" i="2"/>
  <c r="E24" i="2"/>
  <c r="E58" i="2"/>
  <c r="E56" i="2"/>
  <c r="E53" i="2"/>
  <c r="E19" i="2"/>
  <c r="E25" i="2"/>
  <c r="E27" i="2"/>
  <c r="E29" i="2"/>
  <c r="E33" i="2"/>
  <c r="H39" i="2"/>
  <c r="L39" i="2"/>
  <c r="L41" i="2"/>
  <c r="H41" i="2"/>
  <c r="E47" i="2"/>
  <c r="E49" i="2"/>
  <c r="E63" i="2"/>
  <c r="E65" i="2"/>
  <c r="E90" i="2"/>
  <c r="E88" i="2"/>
  <c r="E86" i="2"/>
  <c r="E85" i="2"/>
  <c r="E95" i="2"/>
  <c r="E97" i="2"/>
  <c r="E108" i="2"/>
  <c r="H111" i="2"/>
  <c r="L111" i="2"/>
  <c r="L113" i="2"/>
  <c r="H113" i="2"/>
  <c r="H34" i="2"/>
  <c r="E93" i="2"/>
  <c r="H114" i="2"/>
  <c r="I114" i="2" s="1"/>
  <c r="J114" i="2" s="1"/>
  <c r="H52" i="2"/>
  <c r="H60" i="2"/>
  <c r="H68" i="2"/>
  <c r="H76" i="2"/>
  <c r="H84" i="2"/>
  <c r="H92" i="2"/>
  <c r="I36" i="2" l="1"/>
  <c r="F100" i="2"/>
  <c r="I9" i="2"/>
  <c r="I113" i="2"/>
  <c r="J113" i="2" s="1"/>
  <c r="F55" i="2"/>
  <c r="F108" i="2"/>
  <c r="I102" i="2"/>
  <c r="I14" i="2"/>
  <c r="I34" i="2"/>
  <c r="I54" i="2"/>
  <c r="F113" i="2"/>
  <c r="F33" i="2"/>
  <c r="F15" i="2"/>
  <c r="I110" i="2"/>
  <c r="F57" i="2"/>
  <c r="F10" i="2"/>
  <c r="F95" i="2"/>
  <c r="I21" i="2"/>
  <c r="F43" i="2"/>
  <c r="F59" i="2"/>
  <c r="F17" i="2"/>
  <c r="F107" i="2"/>
  <c r="F5" i="2"/>
  <c r="I70" i="2"/>
  <c r="F49" i="2"/>
  <c r="I51" i="2"/>
  <c r="I83" i="2"/>
  <c r="I38" i="2"/>
  <c r="F29" i="2"/>
  <c r="F80" i="2"/>
  <c r="F54" i="2"/>
  <c r="F105" i="2"/>
  <c r="F99" i="2"/>
  <c r="I76" i="2"/>
  <c r="I74" i="2"/>
  <c r="F86" i="2"/>
  <c r="I43" i="2"/>
  <c r="F27" i="2"/>
  <c r="F24" i="2"/>
  <c r="F20" i="2"/>
  <c r="I98" i="2"/>
  <c r="F82" i="2"/>
  <c r="I24" i="2"/>
  <c r="I108" i="2"/>
  <c r="I81" i="2"/>
  <c r="I50" i="2"/>
  <c r="I105" i="2"/>
  <c r="F69" i="2"/>
  <c r="I44" i="2"/>
  <c r="F94" i="2"/>
  <c r="F61" i="2"/>
  <c r="F21" i="2"/>
  <c r="F109" i="2"/>
  <c r="I97" i="2"/>
  <c r="I29" i="2"/>
  <c r="F78" i="2"/>
  <c r="I66" i="2"/>
  <c r="F52" i="2"/>
  <c r="I71" i="2"/>
  <c r="I69" i="2"/>
  <c r="F67" i="2"/>
  <c r="F47" i="2"/>
  <c r="I42" i="2"/>
  <c r="F83" i="2"/>
  <c r="F101" i="2"/>
  <c r="I68" i="2"/>
  <c r="F88" i="2"/>
  <c r="I41" i="2"/>
  <c r="F25" i="2"/>
  <c r="F51" i="2"/>
  <c r="F41" i="2"/>
  <c r="I65" i="2"/>
  <c r="I100" i="2"/>
  <c r="I64" i="2"/>
  <c r="I22" i="2"/>
  <c r="I40" i="2"/>
  <c r="I63" i="2"/>
  <c r="F72" i="2"/>
  <c r="F75" i="2"/>
  <c r="F96" i="2"/>
  <c r="F64" i="2"/>
  <c r="F45" i="2"/>
  <c r="F23" i="2"/>
  <c r="F110" i="2"/>
  <c r="I23" i="2"/>
  <c r="F14" i="2"/>
  <c r="F11" i="2"/>
  <c r="I10" i="2"/>
  <c r="I89" i="2"/>
  <c r="I106" i="2"/>
  <c r="F34" i="2"/>
  <c r="I45" i="2"/>
  <c r="I60" i="2"/>
  <c r="I111" i="2"/>
  <c r="J111" i="2" s="1"/>
  <c r="I109" i="2"/>
  <c r="F90" i="2"/>
  <c r="F19" i="2"/>
  <c r="I87" i="2"/>
  <c r="F37" i="2"/>
  <c r="I96" i="2"/>
  <c r="I62" i="2"/>
  <c r="I17" i="2"/>
  <c r="F102" i="2"/>
  <c r="I49" i="2"/>
  <c r="F74" i="2"/>
  <c r="F30" i="2"/>
  <c r="F32" i="2"/>
  <c r="F98" i="2"/>
  <c r="F66" i="2"/>
  <c r="F48" i="2"/>
  <c r="F26" i="2"/>
  <c r="I8" i="2"/>
  <c r="F42" i="2"/>
  <c r="I27" i="2"/>
  <c r="I12" i="2"/>
  <c r="F12" i="2"/>
  <c r="F46" i="2"/>
  <c r="I13" i="2"/>
  <c r="I52" i="2"/>
  <c r="I107" i="2"/>
  <c r="I85" i="2"/>
  <c r="F103" i="2"/>
  <c r="I31" i="2"/>
  <c r="F35" i="2"/>
  <c r="I94" i="2"/>
  <c r="I58" i="2"/>
  <c r="F104" i="2"/>
  <c r="I79" i="2"/>
  <c r="I77" i="2"/>
  <c r="I28" i="2"/>
  <c r="I103" i="2"/>
  <c r="F68" i="2"/>
  <c r="F22" i="2"/>
  <c r="F6" i="2"/>
  <c r="I80" i="2"/>
  <c r="I59" i="2"/>
  <c r="F50" i="2"/>
  <c r="F18" i="2"/>
  <c r="F112" i="2"/>
  <c r="I95" i="2"/>
  <c r="I11" i="2"/>
  <c r="F8" i="2"/>
  <c r="F16" i="2"/>
  <c r="I7" i="2"/>
  <c r="I92" i="2"/>
  <c r="I90" i="2"/>
  <c r="F56" i="2"/>
  <c r="I32" i="2"/>
  <c r="F81" i="2"/>
  <c r="F31" i="2"/>
  <c r="F73" i="2"/>
  <c r="F85" i="2"/>
  <c r="I56" i="2"/>
  <c r="I30" i="2"/>
  <c r="F79" i="2"/>
  <c r="I67" i="2"/>
  <c r="F65" i="2"/>
  <c r="I39" i="2"/>
  <c r="I37" i="2"/>
  <c r="F92" i="2"/>
  <c r="I19" i="2"/>
  <c r="F76" i="2"/>
  <c r="I16" i="2"/>
  <c r="F39" i="2"/>
  <c r="F87" i="2"/>
  <c r="I48" i="2"/>
  <c r="I25" i="2"/>
  <c r="F106" i="2"/>
  <c r="I75" i="2"/>
  <c r="I26" i="2"/>
  <c r="I33" i="2"/>
  <c r="I88" i="2"/>
  <c r="F62" i="2"/>
  <c r="I18" i="2"/>
  <c r="F71" i="2"/>
  <c r="I78" i="2"/>
  <c r="I57" i="2"/>
  <c r="F44" i="2"/>
  <c r="I91" i="2"/>
  <c r="F9" i="2"/>
  <c r="I93" i="2"/>
  <c r="I61" i="2"/>
  <c r="F7" i="2"/>
  <c r="F91" i="2"/>
  <c r="F38" i="2"/>
  <c r="I47" i="2"/>
  <c r="I84" i="2"/>
  <c r="I82" i="2"/>
  <c r="F58" i="2"/>
  <c r="F28" i="2"/>
  <c r="I55" i="2"/>
  <c r="I53" i="2"/>
  <c r="F93" i="2"/>
  <c r="F97" i="2"/>
  <c r="F63" i="2"/>
  <c r="I35" i="2"/>
  <c r="F53" i="2"/>
  <c r="I72" i="2"/>
  <c r="I73" i="2"/>
  <c r="F40" i="2"/>
  <c r="F77" i="2"/>
  <c r="I46" i="2"/>
  <c r="I101" i="2"/>
  <c r="F70" i="2"/>
  <c r="I20" i="2"/>
  <c r="I86" i="2"/>
  <c r="F60" i="2"/>
  <c r="F36" i="2"/>
  <c r="F13" i="2"/>
  <c r="I104" i="2"/>
  <c r="F84" i="2"/>
  <c r="I5" i="2"/>
  <c r="F89" i="2"/>
  <c r="I6" i="2"/>
  <c r="I15" i="2"/>
  <c r="J79" i="2" l="1"/>
  <c r="J83" i="2"/>
  <c r="J109" i="2"/>
  <c r="J15" i="2"/>
  <c r="J70" i="2"/>
  <c r="J107" i="2"/>
  <c r="J51" i="2"/>
  <c r="J73" i="2"/>
  <c r="J78" i="2"/>
  <c r="J112" i="2"/>
  <c r="J59" i="2"/>
  <c r="J14" i="2"/>
  <c r="J20" i="2"/>
  <c r="J61" i="2"/>
  <c r="J18" i="2"/>
  <c r="J48" i="2"/>
  <c r="J39" i="2"/>
  <c r="J58" i="2"/>
  <c r="J13" i="2"/>
  <c r="J42" i="2"/>
  <c r="J29" i="2"/>
  <c r="J105" i="2"/>
  <c r="J55" i="2"/>
  <c r="J34" i="2"/>
  <c r="J66" i="2"/>
  <c r="J25" i="2"/>
  <c r="J10" i="2"/>
  <c r="J5" i="2"/>
  <c r="J35" i="2"/>
  <c r="J82" i="2"/>
  <c r="J93" i="2"/>
  <c r="J11" i="2"/>
  <c r="J94" i="2"/>
  <c r="J17" i="2"/>
  <c r="J97" i="2"/>
  <c r="J50" i="2"/>
  <c r="J54" i="2"/>
  <c r="J100" i="2"/>
  <c r="J86" i="2"/>
  <c r="J80" i="2"/>
  <c r="J65" i="2"/>
  <c r="J84" i="2"/>
  <c r="J88" i="2"/>
  <c r="J67" i="2"/>
  <c r="J32" i="2"/>
  <c r="J95" i="2"/>
  <c r="J62" i="2"/>
  <c r="J60" i="2"/>
  <c r="J23" i="2"/>
  <c r="J63" i="2"/>
  <c r="J81" i="2"/>
  <c r="J43" i="2"/>
  <c r="J110" i="2"/>
  <c r="J89" i="2"/>
  <c r="J98" i="2"/>
  <c r="J72" i="2"/>
  <c r="J49" i="2"/>
  <c r="J101" i="2"/>
  <c r="J104" i="2"/>
  <c r="J46" i="2"/>
  <c r="J102" i="2"/>
  <c r="J91" i="2"/>
  <c r="J33" i="2"/>
  <c r="J16" i="2"/>
  <c r="J103" i="2"/>
  <c r="J31" i="2"/>
  <c r="J12" i="2"/>
  <c r="J96" i="2"/>
  <c r="J45" i="2"/>
  <c r="J40" i="2"/>
  <c r="J41" i="2"/>
  <c r="J69" i="2"/>
  <c r="J108" i="2"/>
  <c r="J99" i="2"/>
  <c r="J7" i="2"/>
  <c r="J6" i="2"/>
  <c r="J37" i="2"/>
  <c r="J52" i="2"/>
  <c r="J47" i="2"/>
  <c r="J26" i="2"/>
  <c r="J30" i="2"/>
  <c r="J90" i="2"/>
  <c r="J28" i="2"/>
  <c r="J27" i="2"/>
  <c r="J22" i="2"/>
  <c r="J71" i="2"/>
  <c r="J24" i="2"/>
  <c r="J74" i="2"/>
  <c r="J38" i="2"/>
  <c r="J36" i="2"/>
  <c r="J44" i="2"/>
  <c r="J8" i="2"/>
  <c r="J53" i="2"/>
  <c r="J57" i="2"/>
  <c r="J75" i="2"/>
  <c r="J19" i="2"/>
  <c r="J56" i="2"/>
  <c r="J92" i="2"/>
  <c r="J77" i="2"/>
  <c r="J85" i="2"/>
  <c r="J87" i="2"/>
  <c r="J106" i="2"/>
  <c r="J64" i="2"/>
  <c r="J68" i="2"/>
  <c r="J76" i="2"/>
  <c r="J21" i="2"/>
  <c r="J9" i="2"/>
  <c r="B20" i="1" l="1"/>
  <c r="B19" i="1"/>
  <c r="B37" i="1" s="1"/>
  <c r="B8" i="1"/>
  <c r="B18" i="1"/>
  <c r="B16" i="1" l="1"/>
  <c r="B10" i="1"/>
  <c r="B22" i="1" l="1"/>
  <c r="B23" i="1" l="1"/>
  <c r="B24" i="1"/>
  <c r="B25" i="1"/>
  <c r="B26" i="1"/>
  <c r="B41" i="1"/>
  <c r="B39" i="1"/>
  <c r="B40" i="1"/>
  <c r="B38" i="1"/>
  <c r="B30" i="1" l="1"/>
  <c r="B27" i="1"/>
  <c r="D40" i="1" s="1"/>
  <c r="B28" i="1"/>
  <c r="B29" i="1" s="1"/>
  <c r="B42" i="1"/>
  <c r="B33" i="1"/>
  <c r="C38" i="1"/>
  <c r="B34" i="1"/>
  <c r="B44" i="1" s="1"/>
  <c r="B31" i="1" l="1"/>
  <c r="B32" i="1" s="1"/>
  <c r="C42" i="1"/>
  <c r="B43" i="1"/>
  <c r="B45" i="1" s="1"/>
  <c r="B35" i="1"/>
  <c r="F49" i="1" s="1"/>
  <c r="C34" i="1"/>
  <c r="G42" i="1" s="1"/>
  <c r="D31" i="1" l="1"/>
  <c r="G31" i="1"/>
  <c r="D42" i="1"/>
  <c r="B46" i="1"/>
</calcChain>
</file>

<file path=xl/sharedStrings.xml><?xml version="1.0" encoding="utf-8"?>
<sst xmlns="http://schemas.openxmlformats.org/spreadsheetml/2006/main" count="126" uniqueCount="65">
  <si>
    <t>Effet</t>
  </si>
  <si>
    <t>Date de naissance</t>
  </si>
  <si>
    <t>Date calcul</t>
  </si>
  <si>
    <t>k</t>
  </si>
  <si>
    <t>Taux d'intérêt technique</t>
  </si>
  <si>
    <t>Facteur d'actualisation</t>
  </si>
  <si>
    <t>Frais de gestion</t>
  </si>
  <si>
    <t>Frais d'acquisition</t>
  </si>
  <si>
    <t>Frais d'escompte</t>
  </si>
  <si>
    <t>Durée maximale d'escompte</t>
  </si>
  <si>
    <t>Age de l'assuré</t>
  </si>
  <si>
    <t>Age date de calcul</t>
  </si>
  <si>
    <t>Age à la retraite</t>
  </si>
  <si>
    <t>Capital garanti</t>
  </si>
  <si>
    <t>Durée du différé en années complètes</t>
  </si>
  <si>
    <t>Frais de fractionnement</t>
  </si>
  <si>
    <t>Taux d'intérêt périodique</t>
  </si>
  <si>
    <t>Dx</t>
  </si>
  <si>
    <t>Mx</t>
  </si>
  <si>
    <t>Nx</t>
  </si>
  <si>
    <t>Nx+n</t>
  </si>
  <si>
    <t>A_n_x</t>
  </si>
  <si>
    <t>Prime pure annuelle</t>
  </si>
  <si>
    <t>Prime pure périodique</t>
  </si>
  <si>
    <t>Prime commerciale unique</t>
  </si>
  <si>
    <t>Prime commerciale annuelle</t>
  </si>
  <si>
    <t>Prime commerciale périodique</t>
  </si>
  <si>
    <t>Prime inventaire unique</t>
  </si>
  <si>
    <t>Prime inventaire annuelle</t>
  </si>
  <si>
    <t>Prime inventaire périodique</t>
  </si>
  <si>
    <t>k periodique</t>
  </si>
  <si>
    <t>Dx+k</t>
  </si>
  <si>
    <t>Mx+k</t>
  </si>
  <si>
    <t>Nx+k</t>
  </si>
  <si>
    <t>PM unique</t>
  </si>
  <si>
    <t>VAP assureur</t>
  </si>
  <si>
    <t>VAP assuré</t>
  </si>
  <si>
    <t>Echeance</t>
  </si>
  <si>
    <t>Durée du contrat en mois</t>
  </si>
  <si>
    <t>Périodicité de paiement de la prime 2</t>
  </si>
  <si>
    <t>Périodicité de paiement de la prime 1</t>
  </si>
  <si>
    <t>NOMBRE DE COMMUTATIONS CIMA H à 3,5%</t>
  </si>
  <si>
    <t>X</t>
  </si>
  <si>
    <t>lx</t>
  </si>
  <si>
    <t>Sx</t>
  </si>
  <si>
    <t>dx</t>
  </si>
  <si>
    <t>Cx</t>
  </si>
  <si>
    <t>Rx</t>
  </si>
  <si>
    <t>qx</t>
  </si>
  <si>
    <t>px</t>
  </si>
  <si>
    <t>PM annuelle</t>
  </si>
  <si>
    <t>Périodicité de la prime</t>
  </si>
  <si>
    <t>Rajouter une liste déroulante</t>
  </si>
  <si>
    <t>Mensuelle</t>
  </si>
  <si>
    <t>Prime annuelle pour 1000F de capital garanti</t>
  </si>
  <si>
    <t>Age</t>
  </si>
  <si>
    <t>Annuelle</t>
  </si>
  <si>
    <t>Trimestrielle</t>
  </si>
  <si>
    <t>Semestrielle</t>
  </si>
  <si>
    <t>Unique</t>
  </si>
  <si>
    <t>Capital garanti pour 1000F de prime mensuelle</t>
  </si>
  <si>
    <t>Prime Commerciale Annuelle</t>
  </si>
  <si>
    <t>Capital</t>
  </si>
  <si>
    <t>Prime Commerciale Mensuelle</t>
  </si>
  <si>
    <t>Prime mensuelle pour 1000F de capital garanti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</si>
</sst>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43" formatCode="_-* #,##0.00_-;\-* #,##0.00_-;_-* &quot;-&quot;??_-;_-@_-"/>
    <numFmt numFmtId="164" formatCode="_-* #,##0.00\ _€_-;\-* #,##0.00\ _€_-;_-* &quot;-&quot;??\ _€_-;_-@_-"/>
    <numFmt numFmtId="165" formatCode="_-* #,##0\ _€_-;\-* #,##0\ _€_-;_-* &quot;-&quot;??\ _€_-;_-@_-"/>
    <numFmt numFmtId="166" formatCode="_-* #,##0.000\ _€_-;\-* #,##0.000\ _€_-;_-* &quot;-&quot;??\ _€_-;_-@_-"/>
    <numFmt numFmtId="167" formatCode="#,##0_ ;\-#,##0\ "/>
    <numFmt numFmtId="168" formatCode="#,##0.000"/>
    <numFmt numFmtId="169" formatCode="0.00000000000"/>
    <numFmt numFmtId="170" formatCode="0.00000"/>
    <numFmt numFmtId="171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F0"/>
        <bgColor indexed="64"/>
      </patternFill>
    </fill>
  </fills>
  <borders count="21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auto="1"/>
      </right>
      <top style="medium">
        <color indexed="64"/>
      </top>
      <bottom style="medium">
        <color indexed="64"/>
      </bottom>
      <diagonal/>
    </border>
    <border>
      <left style="double">
        <color auto="1"/>
      </left>
      <right style="double">
        <color auto="1"/>
      </right>
      <top style="medium">
        <color indexed="64"/>
      </top>
      <bottom style="medium">
        <color indexed="64"/>
      </bottom>
      <diagonal/>
    </border>
    <border>
      <left style="double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double">
        <color auto="1"/>
      </top>
      <bottom style="medium">
        <color indexed="64"/>
      </bottom>
      <diagonal/>
    </border>
    <border>
      <left/>
      <right style="double">
        <color auto="1"/>
      </right>
      <top style="double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70">
    <xf numFmtId="0" fontId="0" fillId="0" borderId="0" xfId="0"/>
    <xf numFmtId="0" fontId="0" fillId="3" borderId="8" xfId="0" applyFill="1" applyBorder="1" applyAlignment="1">
      <alignment horizontal="center"/>
    </xf>
    <xf numFmtId="165" fontId="0" fillId="0" borderId="9" xfId="2" applyNumberFormat="1" applyFont="1" applyBorder="1"/>
    <xf numFmtId="166" fontId="0" fillId="0" borderId="10" xfId="2" applyNumberFormat="1" applyFont="1" applyBorder="1"/>
    <xf numFmtId="165" fontId="0" fillId="0" borderId="10" xfId="2" applyNumberFormat="1" applyFont="1" applyBorder="1"/>
    <xf numFmtId="166" fontId="0" fillId="0" borderId="11" xfId="2" applyNumberFormat="1" applyFont="1" applyBorder="1"/>
    <xf numFmtId="0" fontId="0" fillId="3" borderId="12" xfId="0" applyFill="1" applyBorder="1" applyAlignment="1">
      <alignment horizontal="center"/>
    </xf>
    <xf numFmtId="165" fontId="0" fillId="0" borderId="13" xfId="2" applyNumberFormat="1" applyFont="1" applyBorder="1"/>
    <xf numFmtId="166" fontId="0" fillId="0" borderId="14" xfId="2" applyNumberFormat="1" applyFont="1" applyBorder="1"/>
    <xf numFmtId="165" fontId="0" fillId="0" borderId="14" xfId="2" applyNumberFormat="1" applyFont="1" applyBorder="1"/>
    <xf numFmtId="166" fontId="0" fillId="0" borderId="15" xfId="2" applyNumberFormat="1" applyFont="1" applyBorder="1"/>
    <xf numFmtId="165" fontId="3" fillId="0" borderId="13" xfId="2" applyNumberFormat="1" applyFont="1" applyFill="1" applyBorder="1"/>
    <xf numFmtId="166" fontId="3" fillId="0" borderId="13" xfId="2" applyNumberFormat="1" applyFont="1" applyFill="1" applyBorder="1"/>
    <xf numFmtId="0" fontId="0" fillId="3" borderId="16" xfId="0" applyFill="1" applyBorder="1" applyAlignment="1">
      <alignment horizontal="center"/>
    </xf>
    <xf numFmtId="165" fontId="0" fillId="0" borderId="17" xfId="2" applyNumberFormat="1" applyFont="1" applyBorder="1"/>
    <xf numFmtId="166" fontId="0" fillId="0" borderId="18" xfId="2" applyNumberFormat="1" applyFont="1" applyBorder="1"/>
    <xf numFmtId="165" fontId="0" fillId="0" borderId="18" xfId="2" applyNumberFormat="1" applyFont="1" applyBorder="1"/>
    <xf numFmtId="166" fontId="0" fillId="0" borderId="19" xfId="2" applyNumberFormat="1" applyFont="1" applyBorder="1"/>
    <xf numFmtId="3" fontId="0" fillId="0" borderId="0" xfId="1" applyNumberFormat="1" applyFont="1" applyAlignment="1">
      <alignment horizontal="left" vertical="center"/>
    </xf>
    <xf numFmtId="167" fontId="0" fillId="0" borderId="0" xfId="1" applyNumberFormat="1" applyFon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0" fontId="0" fillId="0" borderId="0" xfId="0" applyNumberFormat="1"/>
    <xf numFmtId="10" fontId="0" fillId="0" borderId="0" xfId="0" applyNumberFormat="1" applyAlignment="1">
      <alignment horizontal="left" vertical="center"/>
    </xf>
    <xf numFmtId="9" fontId="0" fillId="0" borderId="0" xfId="0" applyNumberFormat="1" applyAlignment="1">
      <alignment horizontal="left" vertical="center"/>
    </xf>
    <xf numFmtId="164" fontId="0" fillId="0" borderId="0" xfId="0" applyNumberFormat="1"/>
    <xf numFmtId="43" fontId="0" fillId="0" borderId="0" xfId="0" applyNumberFormat="1"/>
    <xf numFmtId="3" fontId="0" fillId="0" borderId="0" xfId="0" applyNumberFormat="1" applyAlignment="1">
      <alignment horizontal="left" vertical="center"/>
    </xf>
    <xf numFmtId="0" fontId="0" fillId="2" borderId="0" xfId="0" applyFill="1"/>
    <xf numFmtId="3" fontId="0" fillId="2" borderId="0" xfId="0" applyNumberFormat="1" applyFill="1" applyAlignment="1">
      <alignment horizontal="left" vertical="center"/>
    </xf>
    <xf numFmtId="168" fontId="0" fillId="0" borderId="0" xfId="0" applyNumberFormat="1" applyAlignment="1">
      <alignment horizontal="left" vertical="center"/>
    </xf>
    <xf numFmtId="169" fontId="0" fillId="0" borderId="0" xfId="0" applyNumberFormat="1"/>
    <xf numFmtId="170" fontId="0" fillId="0" borderId="0" xfId="0" applyNumberFormat="1"/>
    <xf numFmtId="14" fontId="0" fillId="0" borderId="0" xfId="0" applyNumberFormat="1"/>
    <xf numFmtId="0" fontId="4" fillId="4" borderId="4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  <xf numFmtId="14" fontId="0" fillId="4" borderId="0" xfId="0" applyNumberFormat="1" applyFill="1" applyAlignment="1">
      <alignment horizontal="left" vertical="center"/>
    </xf>
    <xf numFmtId="167" fontId="0" fillId="4" borderId="0" xfId="1" applyNumberFormat="1" applyFont="1" applyFill="1" applyAlignment="1">
      <alignment horizontal="left" vertical="center"/>
    </xf>
    <xf numFmtId="0" fontId="5" fillId="4" borderId="0" xfId="0" applyFont="1" applyFill="1" applyAlignment="1">
      <alignment horizontal="left" vertical="center"/>
    </xf>
    <xf numFmtId="0" fontId="6" fillId="0" borderId="0" xfId="0" applyFont="1"/>
    <xf numFmtId="0" fontId="5" fillId="0" borderId="0" xfId="0" applyFont="1" applyAlignment="1">
      <alignment horizontal="left" vertical="center"/>
    </xf>
    <xf numFmtId="168" fontId="0" fillId="2" borderId="0" xfId="0" applyNumberFormat="1" applyFill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5" borderId="0" xfId="0" applyFill="1"/>
    <xf numFmtId="0" fontId="7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68" fontId="0" fillId="5" borderId="0" xfId="0" applyNumberFormat="1" applyFill="1"/>
    <xf numFmtId="171" fontId="0" fillId="0" borderId="0" xfId="0" applyNumberFormat="1" applyAlignment="1">
      <alignment vertical="center"/>
    </xf>
    <xf numFmtId="0" fontId="7" fillId="0" borderId="20" xfId="0" applyFont="1" applyBorder="1" applyAlignment="1">
      <alignment horizontal="center" vertical="center"/>
    </xf>
    <xf numFmtId="171" fontId="0" fillId="0" borderId="20" xfId="0" applyNumberFormat="1" applyBorder="1" applyAlignment="1">
      <alignment vertical="center"/>
    </xf>
    <xf numFmtId="0" fontId="4" fillId="0" borderId="20" xfId="0" applyFont="1" applyBorder="1" applyAlignment="1">
      <alignment horizontal="center" vertical="center"/>
    </xf>
    <xf numFmtId="171" fontId="5" fillId="3" borderId="20" xfId="0" applyNumberFormat="1" applyFont="1" applyFill="1" applyBorder="1" applyAlignment="1">
      <alignment vertical="center"/>
    </xf>
    <xf numFmtId="171" fontId="5" fillId="0" borderId="20" xfId="0" applyNumberFormat="1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41" fontId="0" fillId="0" borderId="20" xfId="3" applyNumberFormat="1" applyFont="1" applyBorder="1" applyAlignment="1">
      <alignment vertical="center"/>
    </xf>
    <xf numFmtId="41" fontId="5" fillId="3" borderId="20" xfId="3" applyNumberFormat="1" applyFont="1" applyFill="1" applyBorder="1" applyAlignment="1">
      <alignment vertical="center"/>
    </xf>
    <xf numFmtId="41" fontId="5" fillId="0" borderId="20" xfId="3" applyNumberFormat="1" applyFont="1" applyBorder="1" applyAlignment="1">
      <alignment vertical="center"/>
    </xf>
    <xf numFmtId="0" fontId="3" fillId="0" borderId="0" xfId="0" applyFont="1" applyFill="1"/>
    <xf numFmtId="3" fontId="3" fillId="0" borderId="0" xfId="0" applyNumberFormat="1" applyFont="1" applyFill="1" applyAlignment="1">
      <alignment horizontal="left" vertical="center"/>
    </xf>
    <xf numFmtId="168" fontId="3" fillId="0" borderId="0" xfId="0" applyNumberFormat="1" applyFont="1" applyFill="1" applyAlignment="1">
      <alignment horizontal="left" vertical="center"/>
    </xf>
    <xf numFmtId="0" fontId="7" fillId="5" borderId="0" xfId="0" applyFont="1" applyFill="1" applyAlignment="1">
      <alignment horizontal="left" vertical="center"/>
    </xf>
    <xf numFmtId="0" fontId="7" fillId="0" borderId="0" xfId="0" applyFont="1"/>
    <xf numFmtId="0" fontId="7" fillId="5" borderId="0" xfId="0" applyFont="1" applyFill="1"/>
    <xf numFmtId="168" fontId="7" fillId="5" borderId="0" xfId="0" applyNumberFormat="1" applyFont="1" applyFill="1" applyAlignment="1">
      <alignment horizontal="left" vertical="center"/>
    </xf>
  </cellXfs>
  <cellStyles count="4">
    <cellStyle name="Milliers" xfId="1" builtinId="3"/>
    <cellStyle name="Milliers [0]" xfId="3" builtinId="6"/>
    <cellStyle name="Milliers 2" xfId="2" xr:uid="{D721FB72-DE16-4752-B2D2-B61F9C5998EA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57CC6-D72F-4D0F-9D72-38845E5787E0}">
  <sheetPr codeName="Feuil1">
    <tabColor rgb="FF7030A0"/>
  </sheetPr>
  <dimension ref="A1:J61"/>
  <sheetViews>
    <sheetView topLeftCell="A10" zoomScaleNormal="100" workbookViewId="0">
      <selection activeCell="B32" sqref="B32"/>
    </sheetView>
  </sheetViews>
  <sheetFormatPr baseColWidth="10" defaultRowHeight="14.4" x14ac:dyDescent="0.3"/>
  <cols>
    <col min="1" max="1" width="44.88671875" customWidth="1"/>
    <col min="2" max="2" width="13.88671875" style="21" bestFit="1" customWidth="1"/>
    <col min="3" max="3" width="25.21875" bestFit="1" customWidth="1"/>
    <col min="5" max="5" width="2.77734375" bestFit="1" customWidth="1"/>
    <col min="6" max="6" width="10.44140625" bestFit="1" customWidth="1"/>
    <col min="7" max="7" width="11.77734375" bestFit="1" customWidth="1"/>
    <col min="8" max="8" width="13.21875" bestFit="1" customWidth="1"/>
    <col min="9" max="9" width="3.77734375" bestFit="1" customWidth="1"/>
    <col min="10" max="10" width="13.21875" bestFit="1" customWidth="1"/>
    <col min="11" max="13" width="11.77734375" bestFit="1" customWidth="1"/>
  </cols>
  <sheetData>
    <row r="1" spans="1:8" x14ac:dyDescent="0.3">
      <c r="A1" t="s">
        <v>0</v>
      </c>
      <c r="B1" s="39">
        <v>45292</v>
      </c>
    </row>
    <row r="2" spans="1:8" x14ac:dyDescent="0.3">
      <c r="A2" t="s">
        <v>38</v>
      </c>
      <c r="B2" s="45">
        <v>180</v>
      </c>
      <c r="D2" s="46">
        <v>56</v>
      </c>
      <c r="H2" t="s">
        <v>53</v>
      </c>
    </row>
    <row r="3" spans="1:8" x14ac:dyDescent="0.3">
      <c r="A3" t="s">
        <v>1</v>
      </c>
      <c r="B3" s="39">
        <f>DATE(YEAR(B1)-D2,1,1)</f>
        <v>24838</v>
      </c>
      <c r="H3" t="s">
        <v>57</v>
      </c>
    </row>
    <row r="4" spans="1:8" x14ac:dyDescent="0.3">
      <c r="A4" t="s">
        <v>13</v>
      </c>
      <c r="B4" s="40">
        <v>1000</v>
      </c>
      <c r="H4" t="s">
        <v>58</v>
      </c>
    </row>
    <row r="5" spans="1:8" x14ac:dyDescent="0.3">
      <c r="A5" t="s">
        <v>2</v>
      </c>
      <c r="B5" s="39">
        <v>45292</v>
      </c>
      <c r="H5" t="s">
        <v>56</v>
      </c>
    </row>
    <row r="6" spans="1:8" x14ac:dyDescent="0.3">
      <c r="A6" t="s">
        <v>51</v>
      </c>
      <c r="B6" s="41" t="s">
        <v>53</v>
      </c>
      <c r="C6" s="42" t="s">
        <v>52</v>
      </c>
      <c r="H6" t="s">
        <v>59</v>
      </c>
    </row>
    <row r="8" spans="1:8" x14ac:dyDescent="0.3">
      <c r="A8" t="s">
        <v>37</v>
      </c>
      <c r="B8" s="20">
        <f>DATE(YEAR(B1),MONTH(B1)+B2,DAY(B1))</f>
        <v>50771</v>
      </c>
    </row>
    <row r="9" spans="1:8" x14ac:dyDescent="0.3">
      <c r="A9" t="s">
        <v>4</v>
      </c>
      <c r="B9" s="23">
        <v>3.5000000000000003E-2</v>
      </c>
      <c r="C9" s="22"/>
    </row>
    <row r="10" spans="1:8" x14ac:dyDescent="0.3">
      <c r="A10" t="s">
        <v>5</v>
      </c>
      <c r="B10" s="21">
        <f>1/(1+B9)</f>
        <v>0.96618357487922713</v>
      </c>
    </row>
    <row r="11" spans="1:8" x14ac:dyDescent="0.3">
      <c r="A11" t="s">
        <v>6</v>
      </c>
      <c r="B11" s="23">
        <v>5.0000000000000001E-4</v>
      </c>
    </row>
    <row r="12" spans="1:8" x14ac:dyDescent="0.3">
      <c r="A12" t="s">
        <v>7</v>
      </c>
      <c r="B12" s="24">
        <v>0.12</v>
      </c>
    </row>
    <row r="13" spans="1:8" x14ac:dyDescent="0.3">
      <c r="A13" t="s">
        <v>8</v>
      </c>
      <c r="B13" s="24">
        <v>0.02</v>
      </c>
    </row>
    <row r="14" spans="1:8" x14ac:dyDescent="0.3">
      <c r="A14" t="s">
        <v>9</v>
      </c>
      <c r="B14" s="21">
        <v>15</v>
      </c>
      <c r="F14" s="33">
        <v>45717</v>
      </c>
      <c r="G14" s="33">
        <v>46022</v>
      </c>
      <c r="H14" s="33">
        <v>46082</v>
      </c>
    </row>
    <row r="15" spans="1:8" x14ac:dyDescent="0.3">
      <c r="A15" t="s">
        <v>10</v>
      </c>
      <c r="B15" s="19">
        <f>YEAR(B1)-YEAR(B3)</f>
        <v>56</v>
      </c>
      <c r="C15" s="25"/>
    </row>
    <row r="16" spans="1:8" x14ac:dyDescent="0.3">
      <c r="A16" t="s">
        <v>11</v>
      </c>
      <c r="B16" s="19">
        <f>ROUND((B5-B3)/365.25,0)</f>
        <v>56</v>
      </c>
      <c r="C16" s="26"/>
      <c r="F16">
        <v>751284.97329906945</v>
      </c>
      <c r="G16">
        <v>769877.35396104748</v>
      </c>
    </row>
    <row r="17" spans="1:7" x14ac:dyDescent="0.3">
      <c r="A17" t="s">
        <v>12</v>
      </c>
      <c r="B17" s="21">
        <v>54</v>
      </c>
    </row>
    <row r="18" spans="1:7" x14ac:dyDescent="0.3">
      <c r="A18" t="s">
        <v>14</v>
      </c>
      <c r="B18" s="21">
        <f>ROUNDUP(B2/12,0)</f>
        <v>15</v>
      </c>
      <c r="F18">
        <f>(G14-F14)/(H14-F14)</f>
        <v>0.83561643835616439</v>
      </c>
    </row>
    <row r="19" spans="1:7" x14ac:dyDescent="0.3">
      <c r="A19" t="s">
        <v>40</v>
      </c>
      <c r="B19" s="21">
        <f>IF(B6="Mensuelle",1,IF(B6="Trimestrielle",3,IF(B6="Semestrielle",6,12)))</f>
        <v>1</v>
      </c>
    </row>
    <row r="20" spans="1:7" x14ac:dyDescent="0.3">
      <c r="A20" t="s">
        <v>39</v>
      </c>
      <c r="B20" s="43">
        <f>IF(B6="Mensuelle",12,IF(B6="Trimestrielle",4,IF(B6="Semestrielle",2,1)))</f>
        <v>12</v>
      </c>
      <c r="F20">
        <f>F18*G16+(1-F18)*F16</f>
        <v>766821.0722083936</v>
      </c>
    </row>
    <row r="21" spans="1:7" x14ac:dyDescent="0.3">
      <c r="A21" t="s">
        <v>15</v>
      </c>
      <c r="B21" s="24">
        <f>IF(B6="Mensuelle",2%,IF(B6="Trimestrielle",1%,IF(B6="Semestrielle",0%,0%)))</f>
        <v>0.02</v>
      </c>
    </row>
    <row r="22" spans="1:7" x14ac:dyDescent="0.3">
      <c r="A22" t="s">
        <v>16</v>
      </c>
      <c r="B22" s="21">
        <f>(1+B9)^(1/B19)-1</f>
        <v>3.499999999999992E-2</v>
      </c>
    </row>
    <row r="23" spans="1:7" x14ac:dyDescent="0.3">
      <c r="A23" t="s">
        <v>17</v>
      </c>
      <c r="B23" s="27">
        <f>VLOOKUP(B15,'CIMA H'!$B$5:$J$115,3,0)</f>
        <v>124145.90263429776</v>
      </c>
      <c r="D23">
        <f>2%*15</f>
        <v>0.3</v>
      </c>
    </row>
    <row r="24" spans="1:7" x14ac:dyDescent="0.3">
      <c r="A24" t="s">
        <v>18</v>
      </c>
      <c r="B24" s="27">
        <f>VLOOKUP(B15,'CIMA H'!$B$5:$J$115,8,0)</f>
        <v>59561.586016836554</v>
      </c>
      <c r="D24">
        <f>10%*25000*15</f>
        <v>37500</v>
      </c>
    </row>
    <row r="25" spans="1:7" x14ac:dyDescent="0.3">
      <c r="A25" t="s">
        <v>19</v>
      </c>
      <c r="B25" s="27">
        <f>VLOOKUP(B15,'CIMA H'!$B$5:$J$115,4,0)</f>
        <v>1939887.4178235861</v>
      </c>
    </row>
    <row r="26" spans="1:7" x14ac:dyDescent="0.3">
      <c r="A26" t="s">
        <v>20</v>
      </c>
      <c r="B26" s="27">
        <f>VLOOKUP(B15+B18,'CIMA H'!$B$5:$J$115,4,0)</f>
        <v>586130.31608799694</v>
      </c>
    </row>
    <row r="27" spans="1:7" x14ac:dyDescent="0.3">
      <c r="A27" t="s">
        <v>21</v>
      </c>
      <c r="B27" s="30">
        <f>(B25-B26)/B23</f>
        <v>10.904565297844851</v>
      </c>
    </row>
    <row r="28" spans="1:7" x14ac:dyDescent="0.3">
      <c r="A28" t="s">
        <v>22</v>
      </c>
      <c r="B28" s="30">
        <f>B4*B24/(B25-B26)</f>
        <v>43.997247320420634</v>
      </c>
    </row>
    <row r="29" spans="1:7" x14ac:dyDescent="0.3">
      <c r="A29" t="s">
        <v>23</v>
      </c>
      <c r="B29" s="27">
        <f>B28*(1+B21)/B20</f>
        <v>3.7397660222357541</v>
      </c>
    </row>
    <row r="30" spans="1:7" x14ac:dyDescent="0.3">
      <c r="A30" s="28" t="s">
        <v>24</v>
      </c>
      <c r="B30" s="29">
        <f>B4*(B24+B11*(B25))/((1-B12)*B23)</f>
        <v>554.07248869445561</v>
      </c>
    </row>
    <row r="31" spans="1:7" x14ac:dyDescent="0.3">
      <c r="A31" s="28" t="s">
        <v>25</v>
      </c>
      <c r="B31" s="44">
        <f>B4*(B24+B11*(B25))/((1-B12*MIN(B14,B18)/B27)*(B25-B26))</f>
        <v>53.553769356405986</v>
      </c>
      <c r="D31" s="49">
        <f>B31</f>
        <v>53.553769356405986</v>
      </c>
      <c r="G31">
        <f>B31*B2/12</f>
        <v>803.30654034608972</v>
      </c>
    </row>
    <row r="32" spans="1:7" x14ac:dyDescent="0.3">
      <c r="A32" s="28" t="s">
        <v>26</v>
      </c>
      <c r="B32" s="44">
        <f>B31*(1+B21)/B20</f>
        <v>4.5520703952945087</v>
      </c>
    </row>
    <row r="33" spans="1:10" x14ac:dyDescent="0.3">
      <c r="A33" t="s">
        <v>27</v>
      </c>
      <c r="B33" s="27">
        <f>B4*(B24+B11*(B25))/B23</f>
        <v>487.58379005112096</v>
      </c>
    </row>
    <row r="34" spans="1:10" x14ac:dyDescent="0.3">
      <c r="A34" t="s">
        <v>28</v>
      </c>
      <c r="B34" s="30">
        <f>B4*(B24+B11*(B25))/(B25-B26)</f>
        <v>44.713730142684888</v>
      </c>
      <c r="C34">
        <f>+B34/B4</f>
        <v>4.4713730142684885E-2</v>
      </c>
    </row>
    <row r="35" spans="1:10" x14ac:dyDescent="0.3">
      <c r="A35" t="s">
        <v>29</v>
      </c>
      <c r="B35" s="27">
        <f>B34*(1+B21)/B20</f>
        <v>3.8006670621282157</v>
      </c>
      <c r="H35" s="32">
        <f>12*ROUND(1-4/12,9)</f>
        <v>8.0000000040000003</v>
      </c>
    </row>
    <row r="36" spans="1:10" x14ac:dyDescent="0.3">
      <c r="A36" t="s">
        <v>3</v>
      </c>
      <c r="B36" s="27">
        <v>2</v>
      </c>
      <c r="C36" s="25"/>
    </row>
    <row r="37" spans="1:10" x14ac:dyDescent="0.3">
      <c r="A37" t="s">
        <v>30</v>
      </c>
      <c r="B37" s="27">
        <f>B36*B19</f>
        <v>2</v>
      </c>
      <c r="C37" s="25"/>
    </row>
    <row r="38" spans="1:10" x14ac:dyDescent="0.3">
      <c r="A38" t="s">
        <v>31</v>
      </c>
      <c r="B38" s="27">
        <f>VLOOKUP(B15+B36,'CIMA H'!$B$5:$J$115,3,0)</f>
        <v>113530.18316136849</v>
      </c>
      <c r="C38">
        <f>(B40-B41)/B38</f>
        <v>9.7846151826542158</v>
      </c>
    </row>
    <row r="39" spans="1:10" x14ac:dyDescent="0.3">
      <c r="A39" t="s">
        <v>32</v>
      </c>
      <c r="B39" s="27">
        <f>VLOOKUP(B15+B36,'CIMA H'!$B$5:$J$115,8,0)</f>
        <v>57118.481179532748</v>
      </c>
      <c r="H39">
        <f>4/12</f>
        <v>0.33333333333333331</v>
      </c>
      <c r="J39">
        <f>1-H39</f>
        <v>0.66666666666666674</v>
      </c>
    </row>
    <row r="40" spans="1:10" x14ac:dyDescent="0.3">
      <c r="A40" t="s">
        <v>33</v>
      </c>
      <c r="B40" s="27">
        <f>VLOOKUP(B15+B36,'CIMA H'!$B$5:$J$115,4,0)</f>
        <v>1696979.4699382372</v>
      </c>
      <c r="D40">
        <f>12%*15/B27</f>
        <v>0.16506847827815263</v>
      </c>
      <c r="J40" s="31">
        <f>J39*12</f>
        <v>8</v>
      </c>
    </row>
    <row r="41" spans="1:10" x14ac:dyDescent="0.3">
      <c r="A41" t="s">
        <v>20</v>
      </c>
      <c r="B41" s="27">
        <f>VLOOKUP(B15+B18,'CIMA H'!$B$5:$J$115,4,0)</f>
        <v>586130.31608799694</v>
      </c>
    </row>
    <row r="42" spans="1:10" x14ac:dyDescent="0.3">
      <c r="A42" s="28" t="s">
        <v>34</v>
      </c>
      <c r="B42" s="29">
        <f>B4*(B39/B38+B11*(B40)/B38)</f>
        <v>510.58642997262939</v>
      </c>
      <c r="C42">
        <f>0.95*B42</f>
        <v>485.05710847399791</v>
      </c>
      <c r="D42">
        <f>+B43/B4</f>
        <v>0.51058642997262937</v>
      </c>
      <c r="G42">
        <f>+C34*5</f>
        <v>0.22356865071342441</v>
      </c>
    </row>
    <row r="43" spans="1:10" x14ac:dyDescent="0.3">
      <c r="A43" t="s">
        <v>35</v>
      </c>
      <c r="B43" s="27">
        <f>B42</f>
        <v>510.58642997262939</v>
      </c>
    </row>
    <row r="44" spans="1:10" x14ac:dyDescent="0.3">
      <c r="A44" t="s">
        <v>36</v>
      </c>
      <c r="B44" s="27">
        <f>B34*(B40-B41)/B38</f>
        <v>437.50664282721806</v>
      </c>
      <c r="D44">
        <f>20%*2164</f>
        <v>432.8</v>
      </c>
    </row>
    <row r="45" spans="1:10" x14ac:dyDescent="0.3">
      <c r="A45" s="28" t="s">
        <v>50</v>
      </c>
      <c r="B45" s="29">
        <f>B43-B44</f>
        <v>73.079787145411331</v>
      </c>
    </row>
    <row r="46" spans="1:10" x14ac:dyDescent="0.3">
      <c r="B46" s="29">
        <f>0.95*B45</f>
        <v>69.425797788140756</v>
      </c>
    </row>
    <row r="47" spans="1:10" x14ac:dyDescent="0.3">
      <c r="B47"/>
      <c r="F47">
        <v>19940</v>
      </c>
      <c r="G47">
        <f>F47*4/12</f>
        <v>6646.666666666667</v>
      </c>
    </row>
    <row r="49" spans="2:6" x14ac:dyDescent="0.3">
      <c r="B49" s="27"/>
      <c r="F49">
        <f>B35*5</f>
        <v>19.003335310641077</v>
      </c>
    </row>
    <row r="50" spans="2:6" x14ac:dyDescent="0.3">
      <c r="B50" s="18"/>
    </row>
    <row r="51" spans="2:6" x14ac:dyDescent="0.3">
      <c r="B51" s="27"/>
    </row>
    <row r="60" spans="2:6" x14ac:dyDescent="0.3">
      <c r="B60" s="27"/>
    </row>
    <row r="61" spans="2:6" x14ac:dyDescent="0.3">
      <c r="B61" s="27"/>
    </row>
  </sheetData>
  <dataValidations count="1">
    <dataValidation type="list" allowBlank="1" showInputMessage="1" showErrorMessage="1" sqref="B6" xr:uid="{0F8F13B9-6BF1-43B9-9CAF-99F7BE51B02C}">
      <formula1>$H$2:$H$6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C53A9-A01E-464F-A031-D8BD90473BAF}">
  <sheetPr codeName="Feuil6">
    <tabColor rgb="FF7030A0"/>
  </sheetPr>
  <dimension ref="A1:J64"/>
  <sheetViews>
    <sheetView zoomScaleNormal="100" workbookViewId="0">
      <selection activeCell="B29" sqref="B29"/>
    </sheetView>
  </sheetViews>
  <sheetFormatPr baseColWidth="10" defaultRowHeight="14.4" x14ac:dyDescent="0.3"/>
  <cols>
    <col min="1" max="1" width="44.88671875" customWidth="1"/>
    <col min="2" max="2" width="13.88671875" style="21" bestFit="1" customWidth="1"/>
    <col min="3" max="3" width="25.21875" bestFit="1" customWidth="1"/>
    <col min="5" max="5" width="2.77734375" bestFit="1" customWidth="1"/>
    <col min="6" max="6" width="10.44140625" bestFit="1" customWidth="1"/>
    <col min="7" max="7" width="11.77734375" bestFit="1" customWidth="1"/>
    <col min="8" max="8" width="13.21875" bestFit="1" customWidth="1"/>
    <col min="9" max="9" width="3.77734375" bestFit="1" customWidth="1"/>
    <col min="10" max="10" width="13.21875" bestFit="1" customWidth="1"/>
    <col min="11" max="13" width="11.77734375" bestFit="1" customWidth="1"/>
  </cols>
  <sheetData>
    <row r="1" spans="1:8" x14ac:dyDescent="0.3">
      <c r="A1" t="s">
        <v>0</v>
      </c>
      <c r="B1" s="39">
        <v>45292</v>
      </c>
    </row>
    <row r="2" spans="1:8" x14ac:dyDescent="0.3">
      <c r="A2" t="s">
        <v>38</v>
      </c>
      <c r="B2" s="66">
        <v>180</v>
      </c>
      <c r="C2" s="67"/>
      <c r="D2" s="68">
        <v>69</v>
      </c>
      <c r="H2" t="s">
        <v>53</v>
      </c>
    </row>
    <row r="3" spans="1:8" x14ac:dyDescent="0.3">
      <c r="A3" t="s">
        <v>1</v>
      </c>
      <c r="B3" s="39">
        <f>DATE(YEAR(B1)-D2,1,1)</f>
        <v>20090</v>
      </c>
      <c r="H3" t="s">
        <v>57</v>
      </c>
    </row>
    <row r="4" spans="1:8" x14ac:dyDescent="0.3">
      <c r="A4" t="s">
        <v>63</v>
      </c>
      <c r="B4" s="40">
        <v>1000</v>
      </c>
    </row>
    <row r="5" spans="1:8" x14ac:dyDescent="0.3">
      <c r="A5" t="s">
        <v>61</v>
      </c>
      <c r="B5" s="40">
        <f>B4*12/(1+2%)</f>
        <v>11764.705882352941</v>
      </c>
      <c r="H5" t="s">
        <v>58</v>
      </c>
    </row>
    <row r="6" spans="1:8" x14ac:dyDescent="0.3">
      <c r="A6" t="s">
        <v>2</v>
      </c>
      <c r="B6" s="39">
        <v>45292</v>
      </c>
      <c r="H6" t="s">
        <v>56</v>
      </c>
    </row>
    <row r="7" spans="1:8" x14ac:dyDescent="0.3">
      <c r="A7" t="s">
        <v>51</v>
      </c>
      <c r="B7" s="41" t="s">
        <v>53</v>
      </c>
      <c r="C7" s="42" t="s">
        <v>52</v>
      </c>
      <c r="H7" t="s">
        <v>59</v>
      </c>
    </row>
    <row r="9" spans="1:8" x14ac:dyDescent="0.3">
      <c r="A9" t="s">
        <v>37</v>
      </c>
      <c r="B9" s="20">
        <f>DATE(YEAR(B1),MONTH(B1)+B2,DAY(B1))</f>
        <v>50771</v>
      </c>
    </row>
    <row r="10" spans="1:8" x14ac:dyDescent="0.3">
      <c r="A10" t="s">
        <v>4</v>
      </c>
      <c r="B10" s="23">
        <v>3.5000000000000003E-2</v>
      </c>
      <c r="C10" s="22"/>
    </row>
    <row r="11" spans="1:8" x14ac:dyDescent="0.3">
      <c r="A11" t="s">
        <v>5</v>
      </c>
      <c r="B11" s="21">
        <f>1/(1+B10)</f>
        <v>0.96618357487922713</v>
      </c>
    </row>
    <row r="12" spans="1:8" x14ac:dyDescent="0.3">
      <c r="A12" t="s">
        <v>6</v>
      </c>
      <c r="B12" s="23">
        <v>5.0000000000000001E-4</v>
      </c>
    </row>
    <row r="13" spans="1:8" x14ac:dyDescent="0.3">
      <c r="A13" t="s">
        <v>7</v>
      </c>
      <c r="B13" s="24">
        <v>0.12</v>
      </c>
    </row>
    <row r="14" spans="1:8" x14ac:dyDescent="0.3">
      <c r="A14" t="s">
        <v>8</v>
      </c>
      <c r="B14" s="24">
        <v>0.02</v>
      </c>
    </row>
    <row r="15" spans="1:8" x14ac:dyDescent="0.3">
      <c r="A15" t="s">
        <v>9</v>
      </c>
      <c r="B15" s="21">
        <v>15</v>
      </c>
      <c r="F15" s="33">
        <v>45717</v>
      </c>
      <c r="G15" s="33">
        <v>46022</v>
      </c>
      <c r="H15" s="33">
        <v>46082</v>
      </c>
    </row>
    <row r="16" spans="1:8" x14ac:dyDescent="0.3">
      <c r="A16" t="s">
        <v>10</v>
      </c>
      <c r="B16" s="19">
        <f>YEAR(B1)-YEAR(B3)</f>
        <v>69</v>
      </c>
      <c r="C16" s="25"/>
    </row>
    <row r="17" spans="1:7" x14ac:dyDescent="0.3">
      <c r="A17" t="s">
        <v>11</v>
      </c>
      <c r="B17" s="19">
        <f>ROUND((B6-B3)/365.25,0)</f>
        <v>69</v>
      </c>
      <c r="C17" s="26"/>
      <c r="F17">
        <v>751284.97329906945</v>
      </c>
      <c r="G17">
        <v>769877.35396104748</v>
      </c>
    </row>
    <row r="18" spans="1:7" x14ac:dyDescent="0.3">
      <c r="A18" t="s">
        <v>12</v>
      </c>
      <c r="B18" s="21">
        <v>54</v>
      </c>
    </row>
    <row r="19" spans="1:7" x14ac:dyDescent="0.3">
      <c r="A19" t="s">
        <v>14</v>
      </c>
      <c r="B19" s="21">
        <f>ROUNDUP(B2/12,0)</f>
        <v>15</v>
      </c>
      <c r="F19">
        <f>(G15-F15)/(H15-F15)</f>
        <v>0.83561643835616439</v>
      </c>
    </row>
    <row r="20" spans="1:7" x14ac:dyDescent="0.3">
      <c r="A20" t="s">
        <v>40</v>
      </c>
      <c r="B20" s="21">
        <f>IF(B7="Mensuelle",1,IF(B7="Trimestrielle",3,IF(B7="Semestrielle",6,12)))</f>
        <v>1</v>
      </c>
    </row>
    <row r="21" spans="1:7" x14ac:dyDescent="0.3">
      <c r="A21" t="s">
        <v>39</v>
      </c>
      <c r="B21" s="43">
        <f>IF(B7="Mensuelle",12,IF(B7="Trimestrielle",4,IF(B7="Semestrielle",2,1)))</f>
        <v>12</v>
      </c>
      <c r="F21">
        <f>F19*G17+(1-F19)*F17</f>
        <v>766821.0722083936</v>
      </c>
    </row>
    <row r="22" spans="1:7" x14ac:dyDescent="0.3">
      <c r="A22" t="s">
        <v>15</v>
      </c>
      <c r="B22" s="24">
        <f>IF(B7="Mensuelle",2%,IF(B7="Trimestrielle",1%,IF(B7="Semestrielle",0%,0%)))</f>
        <v>0.02</v>
      </c>
    </row>
    <row r="23" spans="1:7" x14ac:dyDescent="0.3">
      <c r="A23" t="s">
        <v>16</v>
      </c>
      <c r="B23" s="21">
        <f>(1+B10)^(1/B20)-1</f>
        <v>3.499999999999992E-2</v>
      </c>
    </row>
    <row r="24" spans="1:7" x14ac:dyDescent="0.3">
      <c r="A24" t="s">
        <v>17</v>
      </c>
      <c r="B24" s="27">
        <f>VLOOKUP(B16,'CIMA H'!$B$5:$J$115,3,0)</f>
        <v>63644.420155072839</v>
      </c>
      <c r="D24">
        <f>2%*15</f>
        <v>0.3</v>
      </c>
    </row>
    <row r="25" spans="1:7" x14ac:dyDescent="0.3">
      <c r="A25" t="s">
        <v>18</v>
      </c>
      <c r="B25" s="27">
        <f>VLOOKUP(B16,'CIMA H'!$B$5:$J$115,8,0)</f>
        <v>40337.601334712665</v>
      </c>
      <c r="D25">
        <f>10%*25000*15</f>
        <v>37500</v>
      </c>
    </row>
    <row r="26" spans="1:7" x14ac:dyDescent="0.3">
      <c r="A26" t="s">
        <v>19</v>
      </c>
      <c r="B26" s="27">
        <f>VLOOKUP(B16,'CIMA H'!$B$5:$J$115,4,0)</f>
        <v>709558.18324383127</v>
      </c>
    </row>
    <row r="27" spans="1:7" x14ac:dyDescent="0.3">
      <c r="A27" t="s">
        <v>20</v>
      </c>
      <c r="B27" s="27">
        <f>VLOOKUP(B16+B19,'CIMA H'!$B$5:$J$115,4,0)</f>
        <v>107412.95181527582</v>
      </c>
    </row>
    <row r="28" spans="1:7" x14ac:dyDescent="0.3">
      <c r="A28" t="s">
        <v>21</v>
      </c>
      <c r="B28" s="30">
        <f>(B26-B27)/B24</f>
        <v>9.4610844118211492</v>
      </c>
    </row>
    <row r="29" spans="1:7" x14ac:dyDescent="0.3">
      <c r="A29" s="28" t="s">
        <v>62</v>
      </c>
      <c r="B29" s="69">
        <f>B5*B24*(B28-B13*MIN(B15,B19))/(B25+B12*B26)</f>
        <v>140967.3578837082</v>
      </c>
    </row>
    <row r="30" spans="1:7" x14ac:dyDescent="0.3">
      <c r="B30" s="30"/>
    </row>
    <row r="31" spans="1:7" x14ac:dyDescent="0.3">
      <c r="A31" t="s">
        <v>22</v>
      </c>
      <c r="B31" s="27">
        <f>B5*B25/(B26-B27)</f>
        <v>788.11554245249965</v>
      </c>
    </row>
    <row r="32" spans="1:7" x14ac:dyDescent="0.3">
      <c r="A32" t="s">
        <v>23</v>
      </c>
      <c r="B32" s="27">
        <f>B31*(1+B22)/B21</f>
        <v>66.989821108462465</v>
      </c>
    </row>
    <row r="33" spans="1:10" x14ac:dyDescent="0.3">
      <c r="A33" s="63" t="s">
        <v>24</v>
      </c>
      <c r="B33" s="64">
        <f>B5*(B25+B12*(B26))/((1-B13)*B24)</f>
        <v>8547.7372529313288</v>
      </c>
    </row>
    <row r="34" spans="1:10" x14ac:dyDescent="0.3">
      <c r="A34" s="63" t="s">
        <v>25</v>
      </c>
      <c r="B34" s="65">
        <f>B5*(B25+B12*(B26))/((1-B13*MIN(B15,B19)/B28)*(B26-B27))</f>
        <v>981.84648259103039</v>
      </c>
      <c r="G34">
        <f>B34*B2/12</f>
        <v>14727.697238865456</v>
      </c>
    </row>
    <row r="35" spans="1:10" x14ac:dyDescent="0.3">
      <c r="A35" s="63" t="s">
        <v>26</v>
      </c>
      <c r="B35" s="65">
        <f>B34*(1+B22)/B21</f>
        <v>83.456951020237582</v>
      </c>
    </row>
    <row r="36" spans="1:10" x14ac:dyDescent="0.3">
      <c r="A36" t="s">
        <v>27</v>
      </c>
      <c r="B36" s="27">
        <f>B5*(B25+B12*(B26))/B24</f>
        <v>7522.0087825795699</v>
      </c>
    </row>
    <row r="37" spans="1:10" x14ac:dyDescent="0.3">
      <c r="A37" t="s">
        <v>28</v>
      </c>
      <c r="B37" s="27">
        <f>B5*(B25+B12*(B26))/(B26-B27)</f>
        <v>795.04721183770414</v>
      </c>
      <c r="C37">
        <f>+B37/B5</f>
        <v>6.7579013006204849E-2</v>
      </c>
    </row>
    <row r="38" spans="1:10" x14ac:dyDescent="0.3">
      <c r="A38" t="s">
        <v>29</v>
      </c>
      <c r="B38" s="27">
        <f>B37*(1+B22)/B21</f>
        <v>67.579013006204846</v>
      </c>
      <c r="H38" s="32">
        <f>12*ROUND(1-4/12,9)</f>
        <v>8.0000000040000003</v>
      </c>
    </row>
    <row r="39" spans="1:10" x14ac:dyDescent="0.3">
      <c r="A39" t="s">
        <v>3</v>
      </c>
      <c r="B39" s="27">
        <v>2</v>
      </c>
      <c r="C39" s="25"/>
    </row>
    <row r="40" spans="1:10" x14ac:dyDescent="0.3">
      <c r="A40" t="s">
        <v>30</v>
      </c>
      <c r="B40" s="27">
        <f>B39*B20</f>
        <v>2</v>
      </c>
      <c r="C40" s="25"/>
    </row>
    <row r="41" spans="1:10" x14ac:dyDescent="0.3">
      <c r="A41" t="s">
        <v>31</v>
      </c>
      <c r="B41" s="27">
        <f>VLOOKUP(B16+B39,'CIMA H'!$B$5:$J$115,3,0)</f>
        <v>56039.267671740941</v>
      </c>
      <c r="C41">
        <f>(B43-B44)/B41</f>
        <v>8.5425342650244005</v>
      </c>
    </row>
    <row r="42" spans="1:10" x14ac:dyDescent="0.3">
      <c r="A42" t="s">
        <v>32</v>
      </c>
      <c r="B42" s="27">
        <f>VLOOKUP(B16+B39,'CIMA H'!$B$5:$J$115,8,0)</f>
        <v>36846.807385700806</v>
      </c>
      <c r="H42">
        <f>4/12</f>
        <v>0.33333333333333331</v>
      </c>
      <c r="J42">
        <f>1-H42</f>
        <v>0.66666666666666674</v>
      </c>
    </row>
    <row r="43" spans="1:10" x14ac:dyDescent="0.3">
      <c r="A43" t="s">
        <v>33</v>
      </c>
      <c r="B43" s="27">
        <f>VLOOKUP(B16+B39,'CIMA H'!$B$5:$J$115,4,0)</f>
        <v>586130.31608799694</v>
      </c>
      <c r="D43">
        <f>12%*15/B28</f>
        <v>0.19025303249075659</v>
      </c>
      <c r="J43" s="31">
        <f>J42*12</f>
        <v>8</v>
      </c>
    </row>
    <row r="44" spans="1:10" x14ac:dyDescent="0.3">
      <c r="A44" t="s">
        <v>20</v>
      </c>
      <c r="B44" s="27">
        <f>VLOOKUP(B16+B19,'CIMA H'!$B$5:$J$115,4,0)</f>
        <v>107412.95181527582</v>
      </c>
    </row>
    <row r="45" spans="1:10" x14ac:dyDescent="0.3">
      <c r="A45" s="28" t="s">
        <v>34</v>
      </c>
      <c r="B45" s="29">
        <f>B5*(B42/B41+B12*(B43)/B41)</f>
        <v>7797.0268909415036</v>
      </c>
      <c r="C45">
        <f>0.95*B45</f>
        <v>7407.1755463944282</v>
      </c>
      <c r="D45">
        <f>+B46/B5</f>
        <v>0.66274728573002784</v>
      </c>
      <c r="G45">
        <f>+C37*5</f>
        <v>0.33789506503102423</v>
      </c>
    </row>
    <row r="46" spans="1:10" x14ac:dyDescent="0.3">
      <c r="A46" t="s">
        <v>35</v>
      </c>
      <c r="B46" s="27">
        <f>B45</f>
        <v>7797.0268909415036</v>
      </c>
    </row>
    <row r="47" spans="1:10" x14ac:dyDescent="0.3">
      <c r="A47" t="s">
        <v>36</v>
      </c>
      <c r="B47" s="27">
        <f>B37*(B43-B44)/B41</f>
        <v>6791.7180494357008</v>
      </c>
      <c r="D47">
        <f>20%*2164</f>
        <v>432.8</v>
      </c>
    </row>
    <row r="48" spans="1:10" x14ac:dyDescent="0.3">
      <c r="A48" s="28" t="s">
        <v>50</v>
      </c>
      <c r="B48" s="29">
        <f>B46-B47</f>
        <v>1005.3088415058028</v>
      </c>
    </row>
    <row r="49" spans="2:7" x14ac:dyDescent="0.3">
      <c r="B49" s="29">
        <f>0.95*B48</f>
        <v>955.04339943051264</v>
      </c>
    </row>
    <row r="50" spans="2:7" x14ac:dyDescent="0.3">
      <c r="B50"/>
      <c r="F50">
        <v>19940</v>
      </c>
      <c r="G50">
        <f>F50*4/12</f>
        <v>6646.666666666667</v>
      </c>
    </row>
    <row r="52" spans="2:7" x14ac:dyDescent="0.3">
      <c r="B52" s="27"/>
      <c r="F52">
        <f>B38*5</f>
        <v>337.89506503102422</v>
      </c>
    </row>
    <row r="53" spans="2:7" x14ac:dyDescent="0.3">
      <c r="B53" s="18"/>
    </row>
    <row r="54" spans="2:7" x14ac:dyDescent="0.3">
      <c r="B54" s="27"/>
    </row>
    <row r="63" spans="2:7" x14ac:dyDescent="0.3">
      <c r="B63" s="27"/>
    </row>
    <row r="64" spans="2:7" x14ac:dyDescent="0.3">
      <c r="B64" s="27"/>
    </row>
  </sheetData>
  <dataValidations count="1">
    <dataValidation type="list" allowBlank="1" showInputMessage="1" showErrorMessage="1" sqref="B7" xr:uid="{47D673E5-7D4E-4167-B130-890E1BEA317D}">
      <formula1>$H$2:$H$7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B161B-83E6-4626-B585-CA2575061C7C}">
  <sheetPr codeName="Feuil13">
    <tabColor rgb="FF7030A0"/>
  </sheetPr>
  <dimension ref="B1:M115"/>
  <sheetViews>
    <sheetView showGridLines="0" topLeftCell="B1" zoomScaleNormal="100" workbookViewId="0">
      <pane xSplit="1" ySplit="4" topLeftCell="C5" activePane="bottomRight" state="frozen"/>
      <selection activeCell="B1" sqref="B1"/>
      <selection pane="topRight" activeCell="C1" sqref="C1"/>
      <selection pane="bottomLeft" activeCell="B5" sqref="B5"/>
      <selection pane="bottomRight" activeCell="B4" sqref="B4"/>
    </sheetView>
  </sheetViews>
  <sheetFormatPr baseColWidth="10" defaultRowHeight="14.4" x14ac:dyDescent="0.3"/>
  <cols>
    <col min="2" max="2" width="4.44140625" bestFit="1" customWidth="1"/>
    <col min="3" max="3" width="12.6640625" bestFit="1" customWidth="1"/>
    <col min="4" max="4" width="16.44140625" bestFit="1" customWidth="1"/>
    <col min="5" max="5" width="17.5546875" bestFit="1" customWidth="1"/>
    <col min="6" max="6" width="18.88671875" bestFit="1" customWidth="1"/>
    <col min="7" max="7" width="13.77734375" bestFit="1" customWidth="1"/>
    <col min="8" max="8" width="12.6640625" bestFit="1" customWidth="1"/>
    <col min="9" max="9" width="14.88671875" bestFit="1" customWidth="1"/>
    <col min="10" max="10" width="16.44140625" bestFit="1" customWidth="1"/>
    <col min="11" max="11" width="4.44140625" bestFit="1" customWidth="1"/>
    <col min="12" max="12" width="13.33203125" bestFit="1" customWidth="1"/>
    <col min="13" max="13" width="10" bestFit="1" customWidth="1"/>
  </cols>
  <sheetData>
    <row r="1" spans="2:13" ht="15" thickBot="1" x14ac:dyDescent="0.35"/>
    <row r="2" spans="2:13" ht="19.2" thickTop="1" thickBot="1" x14ac:dyDescent="0.4">
      <c r="D2" s="57" t="s">
        <v>41</v>
      </c>
      <c r="E2" s="58"/>
      <c r="F2" s="58"/>
      <c r="G2" s="58"/>
      <c r="H2" s="58"/>
      <c r="I2" s="59"/>
    </row>
    <row r="3" spans="2:13" ht="15.6" thickTop="1" thickBot="1" x14ac:dyDescent="0.35"/>
    <row r="4" spans="2:13" ht="15" thickBot="1" x14ac:dyDescent="0.35">
      <c r="B4" s="34" t="s">
        <v>42</v>
      </c>
      <c r="C4" s="35" t="s">
        <v>43</v>
      </c>
      <c r="D4" s="36" t="s">
        <v>17</v>
      </c>
      <c r="E4" s="36" t="s">
        <v>19</v>
      </c>
      <c r="F4" s="36" t="s">
        <v>44</v>
      </c>
      <c r="G4" s="36" t="s">
        <v>45</v>
      </c>
      <c r="H4" s="36" t="s">
        <v>46</v>
      </c>
      <c r="I4" s="36" t="s">
        <v>18</v>
      </c>
      <c r="J4" s="37" t="s">
        <v>47</v>
      </c>
      <c r="K4" s="34" t="s">
        <v>42</v>
      </c>
      <c r="L4" s="38" t="s">
        <v>48</v>
      </c>
      <c r="M4" s="38" t="s">
        <v>49</v>
      </c>
    </row>
    <row r="5" spans="2:13" ht="15" thickBot="1" x14ac:dyDescent="0.35">
      <c r="B5" s="1">
        <v>0</v>
      </c>
      <c r="C5" s="2">
        <v>1000000</v>
      </c>
      <c r="D5" s="3">
        <f>C5*((1+3.5%)^(-B5))</f>
        <v>1000000</v>
      </c>
      <c r="E5" s="3">
        <f>SUM(D5:$D$115)</f>
        <v>26565816.048511177</v>
      </c>
      <c r="F5" s="3">
        <f>SUM(E5:$E$115)</f>
        <v>615047484.3950057</v>
      </c>
      <c r="G5" s="4">
        <f>C5-C6</f>
        <v>5368</v>
      </c>
      <c r="H5" s="3">
        <f>G5*(1+3.5%)^(-B5-1/2)</f>
        <v>5276.456137596585</v>
      </c>
      <c r="I5" s="3">
        <f>SUM(H5:$H$115)</f>
        <v>103402.45762527459</v>
      </c>
      <c r="J5" s="5">
        <f>SUM(I5:$I$115)</f>
        <v>5867165.2870866358</v>
      </c>
      <c r="K5" s="1">
        <v>0</v>
      </c>
      <c r="L5">
        <f>G5/C5</f>
        <v>5.3680000000000004E-3</v>
      </c>
      <c r="M5">
        <f>1-L5</f>
        <v>0.99463199999999996</v>
      </c>
    </row>
    <row r="6" spans="2:13" ht="15.6" thickTop="1" thickBot="1" x14ac:dyDescent="0.35">
      <c r="B6" s="6">
        <v>1</v>
      </c>
      <c r="C6" s="7">
        <v>994632</v>
      </c>
      <c r="D6" s="8">
        <f t="shared" ref="D6:D69" si="0">C6*((1+3.5%)^(-B6))</f>
        <v>960997.10144927539</v>
      </c>
      <c r="E6" s="8">
        <f>SUM(D6:$D$115)</f>
        <v>25565816.048511177</v>
      </c>
      <c r="F6" s="8">
        <f>SUM(E6:$E$115)</f>
        <v>588481668.34649432</v>
      </c>
      <c r="G6" s="9">
        <f t="shared" ref="G6:G69" si="1">C6-C7</f>
        <v>726</v>
      </c>
      <c r="H6" s="8">
        <f t="shared" ref="H6:H69" si="2">G6*(1+3.5%)^(-B6-1/2)</f>
        <v>689.48702201903586</v>
      </c>
      <c r="I6" s="8">
        <f>SUM(H6:$H$115)</f>
        <v>98126.001487678033</v>
      </c>
      <c r="J6" s="10">
        <f>SUM(I6:$I$115)</f>
        <v>5763762.8294613613</v>
      </c>
      <c r="K6" s="6">
        <v>1</v>
      </c>
      <c r="L6">
        <f>G6/C6</f>
        <v>7.2991820090244428E-4</v>
      </c>
      <c r="M6">
        <f>M5*(1-L6)</f>
        <v>0.99390599999999996</v>
      </c>
    </row>
    <row r="7" spans="2:13" ht="15.6" thickTop="1" thickBot="1" x14ac:dyDescent="0.35">
      <c r="B7" s="6">
        <v>2</v>
      </c>
      <c r="C7" s="7">
        <v>993906</v>
      </c>
      <c r="D7" s="8">
        <f t="shared" si="0"/>
        <v>927821.88615837018</v>
      </c>
      <c r="E7" s="8">
        <f>SUM(D7:$D$115)</f>
        <v>24604818.9470619</v>
      </c>
      <c r="F7" s="8">
        <f>SUM(E7:$E$115)</f>
        <v>562915852.29798293</v>
      </c>
      <c r="G7" s="9">
        <f t="shared" si="1"/>
        <v>555</v>
      </c>
      <c r="H7" s="8">
        <f t="shared" si="2"/>
        <v>509.26298188813695</v>
      </c>
      <c r="I7" s="8">
        <f>SUM(H7:$H$115)</f>
        <v>97436.514465658998</v>
      </c>
      <c r="J7" s="10">
        <f>SUM(I7:$I$115)</f>
        <v>5665636.8279736834</v>
      </c>
      <c r="K7" s="6">
        <v>2</v>
      </c>
      <c r="L7">
        <f>G7/C7</f>
        <v>5.5840290731719094E-4</v>
      </c>
      <c r="M7">
        <f t="shared" ref="M7:M70" si="3">M6*(1-L7)</f>
        <v>0.99335099999999987</v>
      </c>
    </row>
    <row r="8" spans="2:13" ht="15.6" thickTop="1" thickBot="1" x14ac:dyDescent="0.35">
      <c r="B8" s="6">
        <v>3</v>
      </c>
      <c r="C8" s="7">
        <v>993351</v>
      </c>
      <c r="D8" s="8">
        <f t="shared" si="0"/>
        <v>895945.68861803564</v>
      </c>
      <c r="E8" s="8">
        <f>SUM(D8:$D$115)</f>
        <v>23676997.060903523</v>
      </c>
      <c r="F8" s="8">
        <f>SUM(E8:$E$115)</f>
        <v>538311033.35092103</v>
      </c>
      <c r="G8" s="9">
        <f t="shared" si="1"/>
        <v>473</v>
      </c>
      <c r="H8" s="8">
        <f t="shared" si="2"/>
        <v>419.34350077571276</v>
      </c>
      <c r="I8" s="8">
        <f>SUM(H8:$H$115)</f>
        <v>96927.251483770859</v>
      </c>
      <c r="J8" s="10">
        <f>SUM(I8:$I$115)</f>
        <v>5568200.3135080244</v>
      </c>
      <c r="K8" s="6">
        <v>3</v>
      </c>
      <c r="L8">
        <f t="shared" ref="L8:L71" si="4">G8/C8</f>
        <v>4.7616602791963767E-4</v>
      </c>
      <c r="M8">
        <f t="shared" si="3"/>
        <v>0.99287799999999982</v>
      </c>
    </row>
    <row r="9" spans="2:13" ht="15.6" thickTop="1" thickBot="1" x14ac:dyDescent="0.35">
      <c r="B9" s="6">
        <v>4</v>
      </c>
      <c r="C9" s="7">
        <v>992878</v>
      </c>
      <c r="D9" s="8">
        <f t="shared" si="0"/>
        <v>865235.81615290313</v>
      </c>
      <c r="E9" s="8">
        <f>SUM(D9:$D$115)</f>
        <v>22781051.372285485</v>
      </c>
      <c r="F9" s="8">
        <f>SUM(E9:$E$115)</f>
        <v>514634036.29001766</v>
      </c>
      <c r="G9" s="9">
        <f t="shared" si="1"/>
        <v>404</v>
      </c>
      <c r="H9" s="8">
        <f t="shared" si="2"/>
        <v>346.05871518703304</v>
      </c>
      <c r="I9" s="8">
        <f>SUM(H9:$H$115)</f>
        <v>96507.907982995152</v>
      </c>
      <c r="J9" s="10">
        <f>SUM(I9:$I$115)</f>
        <v>5471273.0620242534</v>
      </c>
      <c r="K9" s="6">
        <v>4</v>
      </c>
      <c r="L9">
        <f t="shared" si="4"/>
        <v>4.0689792703635288E-4</v>
      </c>
      <c r="M9">
        <f t="shared" si="3"/>
        <v>0.99247399999999986</v>
      </c>
    </row>
    <row r="10" spans="2:13" ht="15.6" thickTop="1" thickBot="1" x14ac:dyDescent="0.35">
      <c r="B10" s="6">
        <v>5</v>
      </c>
      <c r="C10" s="7">
        <v>992474</v>
      </c>
      <c r="D10" s="8">
        <f t="shared" si="0"/>
        <v>835636.4768047469</v>
      </c>
      <c r="E10" s="8">
        <f>SUM(D10:$D$115)</f>
        <v>21915815.556132585</v>
      </c>
      <c r="F10" s="8">
        <f>SUM(E10:$E$115)</f>
        <v>491852984.91773218</v>
      </c>
      <c r="G10" s="9">
        <f t="shared" si="1"/>
        <v>369</v>
      </c>
      <c r="H10" s="8">
        <f t="shared" si="2"/>
        <v>305.38974004882385</v>
      </c>
      <c r="I10" s="8">
        <f>SUM(H10:$H$115)</f>
        <v>96161.849267808124</v>
      </c>
      <c r="J10" s="10">
        <f>SUM(I10:$I$115)</f>
        <v>5374765.1540412586</v>
      </c>
      <c r="K10" s="6">
        <v>5</v>
      </c>
      <c r="L10">
        <f t="shared" si="4"/>
        <v>3.7179815289871572E-4</v>
      </c>
      <c r="M10">
        <f t="shared" si="3"/>
        <v>0.9921049999999999</v>
      </c>
    </row>
    <row r="11" spans="2:13" ht="15.6" thickTop="1" thickBot="1" x14ac:dyDescent="0.35">
      <c r="B11" s="6">
        <v>6</v>
      </c>
      <c r="C11" s="7">
        <v>992105</v>
      </c>
      <c r="D11" s="8">
        <f t="shared" si="0"/>
        <v>807078.05672094307</v>
      </c>
      <c r="E11" s="8">
        <f>SUM(D11:$D$115)</f>
        <v>21080179.07932784</v>
      </c>
      <c r="F11" s="8">
        <f>SUM(E11:$E$115)</f>
        <v>469937169.36159962</v>
      </c>
      <c r="G11" s="9">
        <f t="shared" si="1"/>
        <v>332</v>
      </c>
      <c r="H11" s="8">
        <f t="shared" si="2"/>
        <v>265.47633294374282</v>
      </c>
      <c r="I11" s="8">
        <f>SUM(H11:$H$115)</f>
        <v>95856.459527759303</v>
      </c>
      <c r="J11" s="10">
        <f>SUM(I11:$I$115)</f>
        <v>5278603.3047734499</v>
      </c>
      <c r="K11" s="6">
        <v>6</v>
      </c>
      <c r="L11">
        <f t="shared" si="4"/>
        <v>3.3464199857877945E-4</v>
      </c>
      <c r="M11">
        <f t="shared" si="3"/>
        <v>0.9917729999999999</v>
      </c>
    </row>
    <row r="12" spans="2:13" ht="15.6" thickTop="1" thickBot="1" x14ac:dyDescent="0.35">
      <c r="B12" s="6">
        <v>7</v>
      </c>
      <c r="C12" s="7">
        <v>991773</v>
      </c>
      <c r="D12" s="8">
        <f t="shared" si="0"/>
        <v>779524.61305027339</v>
      </c>
      <c r="E12" s="8">
        <f>SUM(D12:$D$115)</f>
        <v>20273101.022606902</v>
      </c>
      <c r="F12" s="8">
        <f>SUM(E12:$E$115)</f>
        <v>448856990.2822718</v>
      </c>
      <c r="G12" s="9">
        <f t="shared" si="1"/>
        <v>313</v>
      </c>
      <c r="H12" s="8">
        <f t="shared" si="2"/>
        <v>241.81972007273004</v>
      </c>
      <c r="I12" s="8">
        <f>SUM(H12:$H$115)</f>
        <v>95590.983194815562</v>
      </c>
      <c r="J12" s="10">
        <f>SUM(I12:$I$115)</f>
        <v>5182746.845245691</v>
      </c>
      <c r="K12" s="6">
        <v>7</v>
      </c>
      <c r="L12">
        <f t="shared" si="4"/>
        <v>3.1559641167888214E-4</v>
      </c>
      <c r="M12">
        <f t="shared" si="3"/>
        <v>0.9914599999999999</v>
      </c>
    </row>
    <row r="13" spans="2:13" ht="15.6" thickTop="1" thickBot="1" x14ac:dyDescent="0.35">
      <c r="B13" s="6">
        <v>8</v>
      </c>
      <c r="C13" s="7">
        <v>991460</v>
      </c>
      <c r="D13" s="8">
        <f t="shared" si="0"/>
        <v>752926.18152616383</v>
      </c>
      <c r="E13" s="8">
        <f>SUM(D13:$D$115)</f>
        <v>19493576.409556627</v>
      </c>
      <c r="F13" s="8">
        <f>SUM(E13:$E$115)</f>
        <v>428583889.25966495</v>
      </c>
      <c r="G13" s="9">
        <f t="shared" si="1"/>
        <v>313</v>
      </c>
      <c r="H13" s="8">
        <f t="shared" si="2"/>
        <v>233.64224161616434</v>
      </c>
      <c r="I13" s="8">
        <f>SUM(H13:$H$115)</f>
        <v>95349.163474742832</v>
      </c>
      <c r="J13" s="10">
        <f>SUM(I13:$I$115)</f>
        <v>5087155.8620508751</v>
      </c>
      <c r="K13" s="6">
        <v>8</v>
      </c>
      <c r="L13">
        <f t="shared" si="4"/>
        <v>3.1569604421761847E-4</v>
      </c>
      <c r="M13">
        <f t="shared" si="3"/>
        <v>0.99114699999999989</v>
      </c>
    </row>
    <row r="14" spans="2:13" ht="15.6" thickTop="1" thickBot="1" x14ac:dyDescent="0.35">
      <c r="B14" s="6">
        <v>9</v>
      </c>
      <c r="C14" s="7">
        <v>991147</v>
      </c>
      <c r="D14" s="8">
        <f t="shared" si="0"/>
        <v>727235.25189281953</v>
      </c>
      <c r="E14" s="8">
        <f>SUM(D14:$D$115)</f>
        <v>18740650.228030466</v>
      </c>
      <c r="F14" s="8">
        <f>SUM(E14:$E$115)</f>
        <v>409090312.85010833</v>
      </c>
      <c r="G14" s="9">
        <f t="shared" si="1"/>
        <v>294</v>
      </c>
      <c r="H14" s="8">
        <f t="shared" si="2"/>
        <v>212.03815046889943</v>
      </c>
      <c r="I14" s="8">
        <f>SUM(H14:$H$115)</f>
        <v>95115.521233126667</v>
      </c>
      <c r="J14" s="10">
        <f>SUM(I14:$I$115)</f>
        <v>4991806.6985761328</v>
      </c>
      <c r="K14" s="6">
        <v>9</v>
      </c>
      <c r="L14">
        <f t="shared" si="4"/>
        <v>2.9662603024576577E-4</v>
      </c>
      <c r="M14">
        <f t="shared" si="3"/>
        <v>0.99085299999999998</v>
      </c>
    </row>
    <row r="15" spans="2:13" ht="15.6" thickTop="1" thickBot="1" x14ac:dyDescent="0.35">
      <c r="B15" s="6">
        <v>10</v>
      </c>
      <c r="C15" s="7">
        <v>990853</v>
      </c>
      <c r="D15" s="8">
        <f t="shared" si="0"/>
        <v>702434.3333207689</v>
      </c>
      <c r="E15" s="8">
        <f>SUM(D15:$D$115)</f>
        <v>18013414.976137642</v>
      </c>
      <c r="F15" s="8">
        <f>SUM(E15:$E$115)</f>
        <v>390349662.62207788</v>
      </c>
      <c r="G15" s="9">
        <f t="shared" si="1"/>
        <v>312</v>
      </c>
      <c r="H15" s="8">
        <f t="shared" si="2"/>
        <v>217.41070342862608</v>
      </c>
      <c r="I15" s="8">
        <f>SUM(H15:$H$115)</f>
        <v>94903.483082657767</v>
      </c>
      <c r="J15" s="10">
        <f>SUM(I15:$I$115)</f>
        <v>4896691.1773430062</v>
      </c>
      <c r="K15" s="6">
        <v>10</v>
      </c>
      <c r="L15">
        <f t="shared" si="4"/>
        <v>3.1488020927423137E-4</v>
      </c>
      <c r="M15">
        <f t="shared" si="3"/>
        <v>0.99054099999999989</v>
      </c>
    </row>
    <row r="16" spans="2:13" ht="15.6" thickTop="1" thickBot="1" x14ac:dyDescent="0.35">
      <c r="B16" s="6">
        <v>11</v>
      </c>
      <c r="C16" s="7">
        <v>990541</v>
      </c>
      <c r="D16" s="8">
        <f t="shared" si="0"/>
        <v>678466.81222308357</v>
      </c>
      <c r="E16" s="8">
        <f>SUM(D16:$D$115)</f>
        <v>17310980.642816871</v>
      </c>
      <c r="F16" s="8">
        <f>SUM(E16:$E$115)</f>
        <v>372336247.64594036</v>
      </c>
      <c r="G16" s="9">
        <f t="shared" si="1"/>
        <v>313</v>
      </c>
      <c r="H16" s="8">
        <f t="shared" si="2"/>
        <v>210.73191556162504</v>
      </c>
      <c r="I16" s="8">
        <f>SUM(H16:$H$115)</f>
        <v>94686.072379229139</v>
      </c>
      <c r="J16" s="10">
        <f>SUM(I16:$I$115)</f>
        <v>4801787.6942603495</v>
      </c>
      <c r="K16" s="6">
        <v>11</v>
      </c>
      <c r="L16">
        <f t="shared" si="4"/>
        <v>3.1598893937757248E-4</v>
      </c>
      <c r="M16">
        <f t="shared" si="3"/>
        <v>0.99022799999999989</v>
      </c>
    </row>
    <row r="17" spans="2:13" ht="15.6" thickTop="1" thickBot="1" x14ac:dyDescent="0.35">
      <c r="B17" s="6">
        <v>12</v>
      </c>
      <c r="C17" s="7">
        <v>990228</v>
      </c>
      <c r="D17" s="8">
        <f t="shared" si="0"/>
        <v>655316.35189824761</v>
      </c>
      <c r="E17" s="8">
        <f>SUM(D17:$D$115)</f>
        <v>16632513.830593795</v>
      </c>
      <c r="F17" s="8">
        <f>SUM(E17:$E$115)</f>
        <v>355025267.00312352</v>
      </c>
      <c r="G17" s="9">
        <f t="shared" si="1"/>
        <v>368</v>
      </c>
      <c r="H17" s="8">
        <f t="shared" si="2"/>
        <v>239.38307767028763</v>
      </c>
      <c r="I17" s="8">
        <f>SUM(H17:$H$115)</f>
        <v>94475.340463667511</v>
      </c>
      <c r="J17" s="10">
        <f>SUM(I17:$I$115)</f>
        <v>4707101.6218811208</v>
      </c>
      <c r="K17" s="6">
        <v>12</v>
      </c>
      <c r="L17">
        <f t="shared" si="4"/>
        <v>3.7163158383725771E-4</v>
      </c>
      <c r="M17">
        <f t="shared" si="3"/>
        <v>0.98985999999999985</v>
      </c>
    </row>
    <row r="18" spans="2:13" ht="15.6" thickTop="1" thickBot="1" x14ac:dyDescent="0.35">
      <c r="B18" s="6">
        <v>13</v>
      </c>
      <c r="C18" s="7">
        <v>989860</v>
      </c>
      <c r="D18" s="8">
        <f t="shared" si="0"/>
        <v>632920.594825582</v>
      </c>
      <c r="E18" s="8">
        <f>SUM(D18:$D$115)</f>
        <v>15977197.478695545</v>
      </c>
      <c r="F18" s="8">
        <f>SUM(E18:$E$115)</f>
        <v>338392753.17252976</v>
      </c>
      <c r="G18" s="9">
        <f t="shared" si="1"/>
        <v>438</v>
      </c>
      <c r="H18" s="8">
        <f t="shared" si="2"/>
        <v>275.2829973209042</v>
      </c>
      <c r="I18" s="8">
        <f>SUM(H18:$H$115)</f>
        <v>94235.95738599723</v>
      </c>
      <c r="J18" s="10">
        <f>SUM(I18:$I$115)</f>
        <v>4612626.2814174527</v>
      </c>
      <c r="K18" s="6">
        <v>13</v>
      </c>
      <c r="L18">
        <f t="shared" si="4"/>
        <v>4.4248681631745901E-4</v>
      </c>
      <c r="M18">
        <f t="shared" si="3"/>
        <v>0.98942199999999991</v>
      </c>
    </row>
    <row r="19" spans="2:13" ht="15.6" thickTop="1" thickBot="1" x14ac:dyDescent="0.35">
      <c r="B19" s="6">
        <v>14</v>
      </c>
      <c r="C19" s="7">
        <v>989422</v>
      </c>
      <c r="D19" s="8">
        <f t="shared" si="0"/>
        <v>611246.89449912636</v>
      </c>
      <c r="E19" s="8">
        <f>SUM(D19:$D$115)</f>
        <v>15344276.883869965</v>
      </c>
      <c r="F19" s="8">
        <f>SUM(E19:$E$115)</f>
        <v>322415555.69383419</v>
      </c>
      <c r="G19" s="9">
        <f t="shared" si="1"/>
        <v>538</v>
      </c>
      <c r="H19" s="8">
        <f t="shared" si="2"/>
        <v>326.69854754515802</v>
      </c>
      <c r="I19" s="8">
        <f>SUM(H19:$H$115)</f>
        <v>93960.674388676314</v>
      </c>
      <c r="J19" s="10">
        <f>SUM(I19:$I$115)</f>
        <v>4518390.3240314554</v>
      </c>
      <c r="K19" s="6">
        <v>14</v>
      </c>
      <c r="L19">
        <f t="shared" si="4"/>
        <v>5.4375180661032398E-4</v>
      </c>
      <c r="M19">
        <f t="shared" si="3"/>
        <v>0.98888399999999987</v>
      </c>
    </row>
    <row r="20" spans="2:13" ht="15.6" thickTop="1" thickBot="1" x14ac:dyDescent="0.35">
      <c r="B20" s="6">
        <v>15</v>
      </c>
      <c r="C20" s="7">
        <v>988884</v>
      </c>
      <c r="D20" s="8">
        <f t="shared" si="0"/>
        <v>590255.58250817168</v>
      </c>
      <c r="E20" s="8">
        <f>SUM(D20:$D$115)</f>
        <v>14733029.989370842</v>
      </c>
      <c r="F20" s="8">
        <f>SUM(E20:$E$115)</f>
        <v>307071278.8099643</v>
      </c>
      <c r="G20" s="9">
        <f t="shared" si="1"/>
        <v>708</v>
      </c>
      <c r="H20" s="8">
        <f t="shared" si="2"/>
        <v>415.39172038498617</v>
      </c>
      <c r="I20" s="8">
        <f>SUM(H20:$H$115)</f>
        <v>93633.975841131163</v>
      </c>
      <c r="J20" s="10">
        <f>SUM(I20:$I$115)</f>
        <v>4424429.6496427795</v>
      </c>
      <c r="K20" s="6">
        <v>15</v>
      </c>
      <c r="L20">
        <f t="shared" si="4"/>
        <v>7.1595859575036098E-4</v>
      </c>
      <c r="M20">
        <f t="shared" si="3"/>
        <v>0.98817599999999983</v>
      </c>
    </row>
    <row r="21" spans="2:13" ht="15.6" thickTop="1" thickBot="1" x14ac:dyDescent="0.35">
      <c r="B21" s="6">
        <v>16</v>
      </c>
      <c r="C21" s="7">
        <v>988176</v>
      </c>
      <c r="D21" s="8">
        <f t="shared" si="0"/>
        <v>569886.94101467181</v>
      </c>
      <c r="E21" s="8">
        <f>SUM(D21:$D$115)</f>
        <v>14142774.406862665</v>
      </c>
      <c r="F21" s="8">
        <f>SUM(E21:$E$115)</f>
        <v>292338248.82059342</v>
      </c>
      <c r="G21" s="9">
        <f t="shared" si="1"/>
        <v>897</v>
      </c>
      <c r="H21" s="8">
        <f t="shared" si="2"/>
        <v>508.48327354094363</v>
      </c>
      <c r="I21" s="8">
        <f>SUM(H21:$H$115)</f>
        <v>93218.584120746178</v>
      </c>
      <c r="J21" s="10">
        <f>SUM(I21:$I$115)</f>
        <v>4330795.6738016494</v>
      </c>
      <c r="K21" s="6">
        <v>16</v>
      </c>
      <c r="L21">
        <f t="shared" si="4"/>
        <v>9.0773303541069605E-4</v>
      </c>
      <c r="M21">
        <f t="shared" si="3"/>
        <v>0.9872789999999998</v>
      </c>
    </row>
    <row r="22" spans="2:13" ht="15.6" thickTop="1" thickBot="1" x14ac:dyDescent="0.35">
      <c r="B22" s="6">
        <v>17</v>
      </c>
      <c r="C22" s="7">
        <v>987279</v>
      </c>
      <c r="D22" s="8">
        <f t="shared" si="0"/>
        <v>550115.5901563901</v>
      </c>
      <c r="E22" s="8">
        <f>SUM(D22:$D$115)</f>
        <v>13572887.465847995</v>
      </c>
      <c r="F22" s="8">
        <f>SUM(E22:$E$115)</f>
        <v>278195474.4137308</v>
      </c>
      <c r="G22" s="9">
        <f t="shared" si="1"/>
        <v>1113</v>
      </c>
      <c r="H22" s="8">
        <f t="shared" si="2"/>
        <v>609.59169690818055</v>
      </c>
      <c r="I22" s="8">
        <f>SUM(H22:$H$115)</f>
        <v>92710.100847205234</v>
      </c>
      <c r="J22" s="10">
        <f>SUM(I22:$I$115)</f>
        <v>4237577.0896809027</v>
      </c>
      <c r="K22" s="6">
        <v>17</v>
      </c>
      <c r="L22">
        <f t="shared" si="4"/>
        <v>1.1273409036351427E-3</v>
      </c>
      <c r="M22">
        <f t="shared" si="3"/>
        <v>0.98616599999999988</v>
      </c>
    </row>
    <row r="23" spans="2:13" ht="15.6" thickTop="1" thickBot="1" x14ac:dyDescent="0.35">
      <c r="B23" s="6">
        <v>18</v>
      </c>
      <c r="C23" s="7">
        <v>986166</v>
      </c>
      <c r="D23" s="8">
        <f t="shared" si="0"/>
        <v>530913.45154577715</v>
      </c>
      <c r="E23" s="8">
        <f>SUM(D23:$D$115)</f>
        <v>13022771.875691604</v>
      </c>
      <c r="F23" s="8">
        <f>SUM(E23:$E$115)</f>
        <v>264622586.94788259</v>
      </c>
      <c r="G23" s="9">
        <f t="shared" si="1"/>
        <v>1318</v>
      </c>
      <c r="H23" s="8">
        <f t="shared" si="2"/>
        <v>697.45941163064697</v>
      </c>
      <c r="I23" s="8">
        <f>SUM(H23:$H$115)</f>
        <v>92100.509150297046</v>
      </c>
      <c r="J23" s="10">
        <f>SUM(I23:$I$115)</f>
        <v>4144866.988833697</v>
      </c>
      <c r="K23" s="6">
        <v>18</v>
      </c>
      <c r="L23">
        <f t="shared" si="4"/>
        <v>1.3364889886692505E-3</v>
      </c>
      <c r="M23">
        <f t="shared" si="3"/>
        <v>0.98484799999999995</v>
      </c>
    </row>
    <row r="24" spans="2:13" ht="15.6" thickTop="1" thickBot="1" x14ac:dyDescent="0.35">
      <c r="B24" s="6">
        <v>19</v>
      </c>
      <c r="C24" s="7">
        <v>984848</v>
      </c>
      <c r="D24" s="8">
        <f t="shared" si="0"/>
        <v>512274.29136603861</v>
      </c>
      <c r="E24" s="8">
        <f>SUM(D24:$D$115)</f>
        <v>12491858.424145825</v>
      </c>
      <c r="F24" s="8">
        <f>SUM(E24:$E$115)</f>
        <v>251599815.07219094</v>
      </c>
      <c r="G24" s="9">
        <f t="shared" si="1"/>
        <v>1466</v>
      </c>
      <c r="H24" s="8">
        <f t="shared" si="2"/>
        <v>749.54402985824572</v>
      </c>
      <c r="I24" s="8">
        <f>SUM(H24:$H$115)</f>
        <v>91403.049738666392</v>
      </c>
      <c r="J24" s="10">
        <f>SUM(I24:$I$115)</f>
        <v>4052766.4796834001</v>
      </c>
      <c r="K24" s="6">
        <v>19</v>
      </c>
      <c r="L24">
        <f t="shared" si="4"/>
        <v>1.4885545789807158E-3</v>
      </c>
      <c r="M24">
        <f t="shared" si="3"/>
        <v>0.98338199999999998</v>
      </c>
    </row>
    <row r="25" spans="2:13" ht="15.6" thickTop="1" thickBot="1" x14ac:dyDescent="0.35">
      <c r="B25" s="6">
        <v>20</v>
      </c>
      <c r="C25" s="7">
        <v>983382</v>
      </c>
      <c r="D25" s="8">
        <f t="shared" si="0"/>
        <v>494214.24456418509</v>
      </c>
      <c r="E25" s="8">
        <f>SUM(D25:$D$115)</f>
        <v>11979584.132779788</v>
      </c>
      <c r="F25" s="8">
        <f>SUM(E25:$E$115)</f>
        <v>239107956.64804509</v>
      </c>
      <c r="G25" s="9">
        <f t="shared" si="1"/>
        <v>1552</v>
      </c>
      <c r="H25" s="8">
        <f t="shared" si="2"/>
        <v>766.68072730028621</v>
      </c>
      <c r="I25" s="8">
        <f>SUM(H25:$H$115)</f>
        <v>90653.505708808152</v>
      </c>
      <c r="J25" s="10">
        <f>SUM(I25:$I$115)</f>
        <v>3961363.4299447336</v>
      </c>
      <c r="K25" s="6">
        <v>20</v>
      </c>
      <c r="L25">
        <f t="shared" si="4"/>
        <v>1.5782269758852613E-3</v>
      </c>
      <c r="M25">
        <f t="shared" si="3"/>
        <v>0.98182999999999998</v>
      </c>
    </row>
    <row r="26" spans="2:13" ht="15.6" thickTop="1" thickBot="1" x14ac:dyDescent="0.35">
      <c r="B26" s="6">
        <v>21</v>
      </c>
      <c r="C26" s="7">
        <v>981830</v>
      </c>
      <c r="D26" s="8">
        <f t="shared" si="0"/>
        <v>476748.07952806499</v>
      </c>
      <c r="E26" s="8">
        <f>SUM(D26:$D$115)</f>
        <v>11485369.888215601</v>
      </c>
      <c r="F26" s="8">
        <f>SUM(E26:$E$115)</f>
        <v>227128372.51526532</v>
      </c>
      <c r="G26" s="9">
        <f t="shared" si="1"/>
        <v>1603</v>
      </c>
      <c r="H26" s="8">
        <f t="shared" si="2"/>
        <v>765.096123974276</v>
      </c>
      <c r="I26" s="8">
        <f>SUM(H26:$H$115)</f>
        <v>89886.82498150786</v>
      </c>
      <c r="J26" s="10">
        <f>SUM(I26:$I$115)</f>
        <v>3870709.9242359255</v>
      </c>
      <c r="K26" s="6">
        <v>21</v>
      </c>
      <c r="L26">
        <f t="shared" si="4"/>
        <v>1.6326655327296986E-3</v>
      </c>
      <c r="M26">
        <f t="shared" si="3"/>
        <v>0.98022699999999996</v>
      </c>
    </row>
    <row r="27" spans="2:13" ht="15.6" thickTop="1" thickBot="1" x14ac:dyDescent="0.35">
      <c r="B27" s="6">
        <v>22</v>
      </c>
      <c r="C27" s="7">
        <v>980227</v>
      </c>
      <c r="D27" s="8">
        <f t="shared" si="0"/>
        <v>459874.11533412989</v>
      </c>
      <c r="E27" s="8">
        <f>SUM(D27:$D$115)</f>
        <v>11008621.808687536</v>
      </c>
      <c r="F27" s="8">
        <f>SUM(E27:$E$115)</f>
        <v>215643002.62704974</v>
      </c>
      <c r="G27" s="9">
        <f t="shared" si="1"/>
        <v>1631</v>
      </c>
      <c r="H27" s="8">
        <f t="shared" si="2"/>
        <v>752.1355057106357</v>
      </c>
      <c r="I27" s="8">
        <f>SUM(H27:$H$115)</f>
        <v>89121.72885753357</v>
      </c>
      <c r="J27" s="10">
        <f>SUM(I27:$I$115)</f>
        <v>3780823.0992544172</v>
      </c>
      <c r="K27" s="6">
        <v>22</v>
      </c>
      <c r="L27">
        <f t="shared" si="4"/>
        <v>1.6639003006446466E-3</v>
      </c>
      <c r="M27">
        <f t="shared" si="3"/>
        <v>0.97859599999999991</v>
      </c>
    </row>
    <row r="28" spans="2:13" ht="15.6" thickTop="1" thickBot="1" x14ac:dyDescent="0.35">
      <c r="B28" s="6">
        <v>23</v>
      </c>
      <c r="C28" s="7">
        <v>978596</v>
      </c>
      <c r="D28" s="8">
        <f t="shared" si="0"/>
        <v>443583.50787958142</v>
      </c>
      <c r="E28" s="8">
        <f>SUM(D28:$D$115)</f>
        <v>10548747.693353407</v>
      </c>
      <c r="F28" s="8">
        <f>SUM(E28:$E$115)</f>
        <v>204634380.81836221</v>
      </c>
      <c r="G28" s="9">
        <f t="shared" si="1"/>
        <v>1653</v>
      </c>
      <c r="H28" s="8">
        <f t="shared" si="2"/>
        <v>736.50319204286563</v>
      </c>
      <c r="I28" s="8">
        <f>SUM(H28:$H$115)</f>
        <v>88369.593351822943</v>
      </c>
      <c r="J28" s="10">
        <f>SUM(I28:$I$115)</f>
        <v>3691701.3703968837</v>
      </c>
      <c r="K28" s="6">
        <v>23</v>
      </c>
      <c r="L28">
        <f t="shared" si="4"/>
        <v>1.6891546664813673E-3</v>
      </c>
      <c r="M28">
        <f t="shared" si="3"/>
        <v>0.97694299999999989</v>
      </c>
    </row>
    <row r="29" spans="2:13" ht="15.6" thickTop="1" thickBot="1" x14ac:dyDescent="0.35">
      <c r="B29" s="6">
        <v>24</v>
      </c>
      <c r="C29" s="7">
        <v>976943</v>
      </c>
      <c r="D29" s="8">
        <f t="shared" si="0"/>
        <v>427859.15625823435</v>
      </c>
      <c r="E29" s="8">
        <f>SUM(D29:$D$115)</f>
        <v>10105164.185473826</v>
      </c>
      <c r="F29" s="8">
        <f>SUM(E29:$E$115)</f>
        <v>194085633.12500879</v>
      </c>
      <c r="G29" s="9">
        <f t="shared" si="1"/>
        <v>1681</v>
      </c>
      <c r="H29" s="8">
        <f t="shared" si="2"/>
        <v>723.650961550837</v>
      </c>
      <c r="I29" s="8">
        <f>SUM(H29:$H$115)</f>
        <v>87633.090159780084</v>
      </c>
      <c r="J29" s="10">
        <f>SUM(I29:$I$115)</f>
        <v>3603331.7770450609</v>
      </c>
      <c r="K29" s="6">
        <v>24</v>
      </c>
      <c r="L29">
        <f t="shared" si="4"/>
        <v>1.720673570515373E-3</v>
      </c>
      <c r="M29">
        <f t="shared" si="3"/>
        <v>0.97526199999999985</v>
      </c>
    </row>
    <row r="30" spans="2:13" ht="15.6" thickTop="1" thickBot="1" x14ac:dyDescent="0.35">
      <c r="B30" s="6">
        <v>25</v>
      </c>
      <c r="C30" s="7">
        <v>975262</v>
      </c>
      <c r="D30" s="8">
        <f t="shared" si="0"/>
        <v>412679.17904942785</v>
      </c>
      <c r="E30" s="8">
        <f>SUM(D30:$D$115)</f>
        <v>9677305.029215591</v>
      </c>
      <c r="F30" s="8">
        <f>SUM(E30:$E$115)</f>
        <v>183980468.93953499</v>
      </c>
      <c r="G30" s="9">
        <f t="shared" si="1"/>
        <v>1710</v>
      </c>
      <c r="H30" s="8">
        <f t="shared" si="2"/>
        <v>711.24166616485547</v>
      </c>
      <c r="I30" s="8">
        <f>SUM(H30:$H$115)</f>
        <v>86909.439198229229</v>
      </c>
      <c r="J30" s="10">
        <f>SUM(I30:$I$115)</f>
        <v>3515698.6868852801</v>
      </c>
      <c r="K30" s="6">
        <v>25</v>
      </c>
      <c r="L30">
        <f t="shared" si="4"/>
        <v>1.7533749905153692E-3</v>
      </c>
      <c r="M30">
        <f t="shared" si="3"/>
        <v>0.97355199999999975</v>
      </c>
    </row>
    <row r="31" spans="2:13" ht="15.6" thickTop="1" thickBot="1" x14ac:dyDescent="0.35">
      <c r="B31" s="6">
        <v>26</v>
      </c>
      <c r="C31" s="7">
        <v>973552</v>
      </c>
      <c r="D31" s="8">
        <f t="shared" si="0"/>
        <v>398024.73207514605</v>
      </c>
      <c r="E31" s="8">
        <f>SUM(D31:$D$115)</f>
        <v>9264625.8501661643</v>
      </c>
      <c r="F31" s="8">
        <f>SUM(E31:$E$115)</f>
        <v>174303163.91031936</v>
      </c>
      <c r="G31" s="9">
        <f t="shared" si="1"/>
        <v>1752</v>
      </c>
      <c r="H31" s="8">
        <f t="shared" si="2"/>
        <v>704.06836687901625</v>
      </c>
      <c r="I31" s="8">
        <f>SUM(H31:$H$115)</f>
        <v>86198.197532064369</v>
      </c>
      <c r="J31" s="10">
        <f>SUM(I31:$I$115)</f>
        <v>3428789.247687052</v>
      </c>
      <c r="K31" s="6">
        <v>26</v>
      </c>
      <c r="L31">
        <f t="shared" si="4"/>
        <v>1.799595707265765E-3</v>
      </c>
      <c r="M31">
        <f t="shared" si="3"/>
        <v>0.97179999999999978</v>
      </c>
    </row>
    <row r="32" spans="2:13" ht="15.6" thickTop="1" thickBot="1" x14ac:dyDescent="0.35">
      <c r="B32" s="6">
        <v>27</v>
      </c>
      <c r="C32" s="7">
        <v>971800</v>
      </c>
      <c r="D32" s="8">
        <f t="shared" si="0"/>
        <v>383872.89707818168</v>
      </c>
      <c r="E32" s="8">
        <f>SUM(D32:$D$115)</f>
        <v>8866601.1180910151</v>
      </c>
      <c r="F32" s="8">
        <f>SUM(E32:$E$115)</f>
        <v>165038538.06015319</v>
      </c>
      <c r="G32" s="9">
        <f t="shared" si="1"/>
        <v>1796</v>
      </c>
      <c r="H32" s="8">
        <f t="shared" si="2"/>
        <v>697.34342913259286</v>
      </c>
      <c r="I32" s="8">
        <f>SUM(H32:$H$115)</f>
        <v>85494.129165185353</v>
      </c>
      <c r="J32" s="10">
        <f>SUM(I32:$I$115)</f>
        <v>3342591.0501549873</v>
      </c>
      <c r="K32" s="6">
        <v>27</v>
      </c>
      <c r="L32">
        <f t="shared" si="4"/>
        <v>1.8481168964807574E-3</v>
      </c>
      <c r="M32">
        <f t="shared" si="3"/>
        <v>0.97000399999999976</v>
      </c>
    </row>
    <row r="33" spans="2:13" ht="15.6" thickTop="1" thickBot="1" x14ac:dyDescent="0.35">
      <c r="B33" s="6">
        <v>28</v>
      </c>
      <c r="C33" s="7">
        <v>970004</v>
      </c>
      <c r="D33" s="8">
        <f t="shared" si="0"/>
        <v>370206.23680288933</v>
      </c>
      <c r="E33" s="8">
        <f>SUM(D33:$D$115)</f>
        <v>8482728.2210128345</v>
      </c>
      <c r="F33" s="8">
        <f>SUM(E33:$E$115)</f>
        <v>156171936.94206217</v>
      </c>
      <c r="G33" s="9">
        <f t="shared" si="1"/>
        <v>1838</v>
      </c>
      <c r="H33" s="8">
        <f t="shared" si="2"/>
        <v>689.5178887843656</v>
      </c>
      <c r="I33" s="8">
        <f>SUM(H33:$H$115)</f>
        <v>84796.785736052756</v>
      </c>
      <c r="J33" s="10">
        <f>SUM(I33:$I$115)</f>
        <v>3257096.9209898016</v>
      </c>
      <c r="K33" s="6">
        <v>28</v>
      </c>
      <c r="L33">
        <f t="shared" si="4"/>
        <v>1.8948375470616615E-3</v>
      </c>
      <c r="M33">
        <f t="shared" si="3"/>
        <v>0.96816599999999975</v>
      </c>
    </row>
    <row r="34" spans="2:13" ht="15.6" thickTop="1" thickBot="1" x14ac:dyDescent="0.35">
      <c r="B34" s="6">
        <v>29</v>
      </c>
      <c r="C34" s="7">
        <v>968166</v>
      </c>
      <c r="D34" s="8">
        <f t="shared" si="0"/>
        <v>357009.42620796029</v>
      </c>
      <c r="E34" s="8">
        <f>SUM(D34:$D$115)</f>
        <v>8112521.9842099445</v>
      </c>
      <c r="F34" s="8">
        <f>SUM(E34:$E$115)</f>
        <v>147689208.72104934</v>
      </c>
      <c r="G34" s="9">
        <f t="shared" si="1"/>
        <v>1885</v>
      </c>
      <c r="H34" s="8">
        <f t="shared" si="2"/>
        <v>683.23646284216159</v>
      </c>
      <c r="I34" s="8">
        <f>SUM(H34:$H$115)</f>
        <v>84107.267847268391</v>
      </c>
      <c r="J34" s="10">
        <f>SUM(I34:$I$115)</f>
        <v>3172300.1352537493</v>
      </c>
      <c r="K34" s="6">
        <v>29</v>
      </c>
      <c r="L34">
        <f t="shared" si="4"/>
        <v>1.9469801666243186E-3</v>
      </c>
      <c r="M34">
        <f t="shared" si="3"/>
        <v>0.96628099999999972</v>
      </c>
    </row>
    <row r="35" spans="2:13" ht="15.6" thickTop="1" thickBot="1" x14ac:dyDescent="0.35">
      <c r="B35" s="6">
        <v>30</v>
      </c>
      <c r="C35" s="7">
        <v>966281</v>
      </c>
      <c r="D35" s="8">
        <f t="shared" si="0"/>
        <v>344265.05887520331</v>
      </c>
      <c r="E35" s="8">
        <f>SUM(D35:$D$115)</f>
        <v>7755512.5580019839</v>
      </c>
      <c r="F35" s="8">
        <f>SUM(E35:$E$115)</f>
        <v>139576686.73683932</v>
      </c>
      <c r="G35" s="9">
        <f t="shared" si="1"/>
        <v>1927</v>
      </c>
      <c r="H35" s="8">
        <f t="shared" si="2"/>
        <v>674.84035617926713</v>
      </c>
      <c r="I35" s="8">
        <f>SUM(H35:$H$115)</f>
        <v>83424.031384426227</v>
      </c>
      <c r="J35" s="10">
        <f>SUM(I35:$I$115)</f>
        <v>3088192.8674064805</v>
      </c>
      <c r="K35" s="6">
        <v>30</v>
      </c>
      <c r="L35">
        <f t="shared" si="4"/>
        <v>1.9942439104152932E-3</v>
      </c>
      <c r="M35">
        <f t="shared" si="3"/>
        <v>0.96435399999999971</v>
      </c>
    </row>
    <row r="36" spans="2:13" ht="15.6" thickTop="1" thickBot="1" x14ac:dyDescent="0.35">
      <c r="B36" s="6">
        <v>31</v>
      </c>
      <c r="C36" s="7">
        <v>964354</v>
      </c>
      <c r="D36" s="8">
        <f t="shared" si="0"/>
        <v>331959.91340866929</v>
      </c>
      <c r="E36" s="8">
        <f>SUM(D36:$D$115)</f>
        <v>7411247.4991267808</v>
      </c>
      <c r="F36" s="8">
        <f>SUM(E36:$E$115)</f>
        <v>131821174.1788374</v>
      </c>
      <c r="G36" s="9">
        <f t="shared" si="1"/>
        <v>1964</v>
      </c>
      <c r="H36" s="8">
        <f t="shared" si="2"/>
        <v>664.53898680388818</v>
      </c>
      <c r="I36" s="8">
        <f>SUM(H36:$H$115)</f>
        <v>82749.191028246962</v>
      </c>
      <c r="J36" s="10">
        <f>SUM(I36:$I$115)</f>
        <v>3004768.8360220543</v>
      </c>
      <c r="K36" s="6">
        <v>31</v>
      </c>
      <c r="L36">
        <f t="shared" si="4"/>
        <v>2.0365965195353573E-3</v>
      </c>
      <c r="M36">
        <f t="shared" si="3"/>
        <v>0.96238999999999975</v>
      </c>
    </row>
    <row r="37" spans="2:13" ht="15.6" thickTop="1" thickBot="1" x14ac:dyDescent="0.35">
      <c r="B37" s="6">
        <v>32</v>
      </c>
      <c r="C37" s="7">
        <v>962390</v>
      </c>
      <c r="D37" s="8">
        <f t="shared" si="0"/>
        <v>320081.00966608309</v>
      </c>
      <c r="E37" s="8">
        <f>SUM(D37:$D$115)</f>
        <v>7079287.5857181111</v>
      </c>
      <c r="F37" s="8">
        <f>SUM(E37:$E$115)</f>
        <v>124409926.67971063</v>
      </c>
      <c r="G37" s="9">
        <f t="shared" si="1"/>
        <v>2028</v>
      </c>
      <c r="H37" s="8">
        <f t="shared" si="2"/>
        <v>662.98939620329463</v>
      </c>
      <c r="I37" s="8">
        <f>SUM(H37:$H$115)</f>
        <v>82084.652041443071</v>
      </c>
      <c r="J37" s="10">
        <f>SUM(I37:$I$115)</f>
        <v>2922019.6449938072</v>
      </c>
      <c r="K37" s="6">
        <v>32</v>
      </c>
      <c r="L37">
        <f t="shared" si="4"/>
        <v>2.1072538160205323E-3</v>
      </c>
      <c r="M37">
        <f t="shared" si="3"/>
        <v>0.96036199999999983</v>
      </c>
    </row>
    <row r="38" spans="2:13" ht="15.6" thickTop="1" thickBot="1" x14ac:dyDescent="0.35">
      <c r="B38" s="6">
        <v>33</v>
      </c>
      <c r="C38" s="7">
        <v>960362</v>
      </c>
      <c r="D38" s="8">
        <f t="shared" si="0"/>
        <v>308605.3311468875</v>
      </c>
      <c r="E38" s="8">
        <f>SUM(D38:$D$115)</f>
        <v>6759206.5760520268</v>
      </c>
      <c r="F38" s="8">
        <f>SUM(E38:$E$115)</f>
        <v>117330639.0939925</v>
      </c>
      <c r="G38" s="9">
        <f t="shared" si="1"/>
        <v>2118</v>
      </c>
      <c r="H38" s="8">
        <f t="shared" si="2"/>
        <v>668.99710390693485</v>
      </c>
      <c r="I38" s="8">
        <f>SUM(H38:$H$115)</f>
        <v>81421.662645239776</v>
      </c>
      <c r="J38" s="10">
        <f>SUM(I38:$I$115)</f>
        <v>2839934.9929523645</v>
      </c>
      <c r="K38" s="6">
        <v>33</v>
      </c>
      <c r="L38">
        <f t="shared" si="4"/>
        <v>2.2054183734883303E-3</v>
      </c>
      <c r="M38">
        <f t="shared" si="3"/>
        <v>0.95824399999999987</v>
      </c>
    </row>
    <row r="39" spans="2:13" ht="15.6" thickTop="1" thickBot="1" x14ac:dyDescent="0.35">
      <c r="B39" s="6">
        <v>34</v>
      </c>
      <c r="C39" s="7">
        <v>958244</v>
      </c>
      <c r="D39" s="8">
        <f t="shared" si="0"/>
        <v>297511.81379654084</v>
      </c>
      <c r="E39" s="8">
        <f>SUM(D39:$D$115)</f>
        <v>6450601.2449051393</v>
      </c>
      <c r="F39" s="8">
        <f>SUM(E39:$E$115)</f>
        <v>110571432.51794048</v>
      </c>
      <c r="G39" s="9">
        <f t="shared" si="1"/>
        <v>2244</v>
      </c>
      <c r="H39" s="8">
        <f t="shared" si="2"/>
        <v>684.8268584286343</v>
      </c>
      <c r="I39" s="8">
        <f>SUM(H39:$H$115)</f>
        <v>80752.665541332841</v>
      </c>
      <c r="J39" s="10">
        <f>SUM(I39:$I$115)</f>
        <v>2758513.3303071246</v>
      </c>
      <c r="K39" s="6">
        <v>34</v>
      </c>
      <c r="L39">
        <f t="shared" si="4"/>
        <v>2.3417835123413244E-3</v>
      </c>
      <c r="M39">
        <f t="shared" si="3"/>
        <v>0.95599999999999985</v>
      </c>
    </row>
    <row r="40" spans="2:13" ht="15.6" thickTop="1" thickBot="1" x14ac:dyDescent="0.35">
      <c r="B40" s="6">
        <v>35</v>
      </c>
      <c r="C40" s="7">
        <v>956000</v>
      </c>
      <c r="D40" s="8">
        <f t="shared" si="0"/>
        <v>286777.87974518386</v>
      </c>
      <c r="E40" s="8">
        <f>SUM(D40:$D$115)</f>
        <v>6153089.4311085986</v>
      </c>
      <c r="F40" s="8">
        <f>SUM(E40:$E$115)</f>
        <v>104120831.27303536</v>
      </c>
      <c r="G40" s="9">
        <f t="shared" si="1"/>
        <v>2368</v>
      </c>
      <c r="H40" s="8">
        <f t="shared" si="2"/>
        <v>698.23124715139716</v>
      </c>
      <c r="I40" s="8">
        <f>SUM(H40:$H$115)</f>
        <v>80067.838682904199</v>
      </c>
      <c r="J40" s="10">
        <f>SUM(I40:$I$115)</f>
        <v>2677760.6647657915</v>
      </c>
      <c r="K40" s="6">
        <v>35</v>
      </c>
      <c r="L40">
        <f t="shared" si="4"/>
        <v>2.4769874476987448E-3</v>
      </c>
      <c r="M40">
        <f t="shared" si="3"/>
        <v>0.95363199999999981</v>
      </c>
    </row>
    <row r="41" spans="2:13" ht="15.6" thickTop="1" thickBot="1" x14ac:dyDescent="0.35">
      <c r="B41" s="6">
        <v>36</v>
      </c>
      <c r="C41" s="7">
        <v>953632</v>
      </c>
      <c r="D41" s="8">
        <f t="shared" si="0"/>
        <v>276393.75317563041</v>
      </c>
      <c r="E41" s="8">
        <f>SUM(D41:$D$115)</f>
        <v>5866311.5513634151</v>
      </c>
      <c r="F41" s="8">
        <f>SUM(E41:$E$115)</f>
        <v>97967741.841926754</v>
      </c>
      <c r="G41" s="9">
        <f t="shared" si="1"/>
        <v>2516</v>
      </c>
      <c r="H41" s="8">
        <f t="shared" si="2"/>
        <v>716.78328511918789</v>
      </c>
      <c r="I41" s="8">
        <f>SUM(H41:$H$115)</f>
        <v>79369.607435752812</v>
      </c>
      <c r="J41" s="10">
        <f>SUM(I41:$I$115)</f>
        <v>2597692.8260828876</v>
      </c>
      <c r="K41" s="6">
        <v>36</v>
      </c>
      <c r="L41">
        <f t="shared" si="4"/>
        <v>2.6383342840844265E-3</v>
      </c>
      <c r="M41">
        <f t="shared" si="3"/>
        <v>0.95111599999999985</v>
      </c>
    </row>
    <row r="42" spans="2:13" ht="15.6" thickTop="1" thickBot="1" x14ac:dyDescent="0.35">
      <c r="B42" s="6">
        <v>37</v>
      </c>
      <c r="C42" s="7">
        <v>951116</v>
      </c>
      <c r="D42" s="8">
        <f t="shared" si="0"/>
        <v>266342.54498620325</v>
      </c>
      <c r="E42" s="8">
        <f>SUM(D42:$D$115)</f>
        <v>5589917.7981877858</v>
      </c>
      <c r="F42" s="8">
        <f>SUM(E42:$E$115)</f>
        <v>92101430.29056333</v>
      </c>
      <c r="G42" s="9">
        <f t="shared" si="1"/>
        <v>2671</v>
      </c>
      <c r="H42" s="8">
        <f t="shared" si="2"/>
        <v>735.2089255060755</v>
      </c>
      <c r="I42" s="8">
        <f>SUM(H42:$H$115)</f>
        <v>78652.82415063362</v>
      </c>
      <c r="J42" s="10">
        <f>SUM(I42:$I$115)</f>
        <v>2518323.218647135</v>
      </c>
      <c r="K42" s="6">
        <v>37</v>
      </c>
      <c r="L42">
        <f t="shared" si="4"/>
        <v>2.8082799574394709E-3</v>
      </c>
      <c r="M42">
        <f t="shared" si="3"/>
        <v>0.94844499999999987</v>
      </c>
    </row>
    <row r="43" spans="2:13" ht="15.6" thickTop="1" thickBot="1" x14ac:dyDescent="0.35">
      <c r="B43" s="6">
        <v>38</v>
      </c>
      <c r="C43" s="7">
        <v>948445</v>
      </c>
      <c r="D43" s="8">
        <f t="shared" si="0"/>
        <v>256613.12130947347</v>
      </c>
      <c r="E43" s="8">
        <f>SUM(D43:$D$115)</f>
        <v>5323575.2532015825</v>
      </c>
      <c r="F43" s="8">
        <f>SUM(E43:$E$115)</f>
        <v>86511512.492375553</v>
      </c>
      <c r="G43" s="9">
        <f t="shared" si="1"/>
        <v>2849</v>
      </c>
      <c r="H43" s="8">
        <f t="shared" si="2"/>
        <v>757.68551059846936</v>
      </c>
      <c r="I43" s="8">
        <f>SUM(H43:$H$115)</f>
        <v>77917.615225127534</v>
      </c>
      <c r="J43" s="10">
        <f>SUM(I43:$I$115)</f>
        <v>2439670.394496501</v>
      </c>
      <c r="K43" s="6">
        <v>38</v>
      </c>
      <c r="L43">
        <f t="shared" si="4"/>
        <v>3.0038642198546043E-3</v>
      </c>
      <c r="M43">
        <f t="shared" si="3"/>
        <v>0.94559599999999977</v>
      </c>
    </row>
    <row r="44" spans="2:13" ht="15.6" thickTop="1" thickBot="1" x14ac:dyDescent="0.35">
      <c r="B44" s="6">
        <v>39</v>
      </c>
      <c r="C44" s="7">
        <v>945596</v>
      </c>
      <c r="D44" s="8">
        <f t="shared" si="0"/>
        <v>247190.61868215149</v>
      </c>
      <c r="E44" s="8">
        <f>SUM(D44:$D$115)</f>
        <v>5066962.1318921102</v>
      </c>
      <c r="F44" s="8">
        <f>SUM(E44:$E$115)</f>
        <v>81187937.239173964</v>
      </c>
      <c r="G44" s="9">
        <f t="shared" si="1"/>
        <v>3057</v>
      </c>
      <c r="H44" s="8">
        <f t="shared" si="2"/>
        <v>785.50982577140246</v>
      </c>
      <c r="I44" s="8">
        <f>SUM(H44:$H$115)</f>
        <v>77159.929714529062</v>
      </c>
      <c r="J44" s="10">
        <f>SUM(I44:$I$115)</f>
        <v>2361752.7792713731</v>
      </c>
      <c r="K44" s="6">
        <v>39</v>
      </c>
      <c r="L44">
        <f t="shared" si="4"/>
        <v>3.2328816957770548E-3</v>
      </c>
      <c r="M44">
        <f t="shared" si="3"/>
        <v>0.94253899999999979</v>
      </c>
    </row>
    <row r="45" spans="2:13" ht="15.6" thickTop="1" thickBot="1" x14ac:dyDescent="0.35">
      <c r="B45" s="6">
        <v>40</v>
      </c>
      <c r="C45" s="7">
        <v>942539</v>
      </c>
      <c r="D45" s="8">
        <f t="shared" si="0"/>
        <v>238059.40159965816</v>
      </c>
      <c r="E45" s="8">
        <f>SUM(D45:$D$115)</f>
        <v>4819771.5132099604</v>
      </c>
      <c r="F45" s="8">
        <f>SUM(E45:$E$115)</f>
        <v>76120975.107281879</v>
      </c>
      <c r="G45" s="9">
        <f t="shared" si="1"/>
        <v>3296</v>
      </c>
      <c r="H45" s="8">
        <f t="shared" si="2"/>
        <v>818.2820724250646</v>
      </c>
      <c r="I45" s="8">
        <f>SUM(H45:$H$115)</f>
        <v>76374.419888757679</v>
      </c>
      <c r="J45" s="10">
        <f>SUM(I45:$I$115)</f>
        <v>2284592.8495568442</v>
      </c>
      <c r="K45" s="6">
        <v>40</v>
      </c>
      <c r="L45">
        <f t="shared" si="4"/>
        <v>3.4969375272535142E-3</v>
      </c>
      <c r="M45">
        <f t="shared" si="3"/>
        <v>0.93924299999999972</v>
      </c>
    </row>
    <row r="46" spans="2:13" ht="15.6" thickTop="1" thickBot="1" x14ac:dyDescent="0.35">
      <c r="B46" s="6">
        <v>41</v>
      </c>
      <c r="C46" s="7">
        <v>939243</v>
      </c>
      <c r="D46" s="8">
        <f t="shared" si="0"/>
        <v>229204.75627486844</v>
      </c>
      <c r="E46" s="8">
        <f>SUM(D46:$D$115)</f>
        <v>4581712.1116103008</v>
      </c>
      <c r="F46" s="8">
        <f>SUM(E46:$E$115)</f>
        <v>71301203.594071925</v>
      </c>
      <c r="G46" s="9">
        <f t="shared" si="1"/>
        <v>3584</v>
      </c>
      <c r="H46" s="8">
        <f t="shared" si="2"/>
        <v>859.6931861695723</v>
      </c>
      <c r="I46" s="8">
        <f>SUM(H46:$H$115)</f>
        <v>75556.137816332615</v>
      </c>
      <c r="J46" s="10">
        <f>SUM(I46:$I$115)</f>
        <v>2208218.4296680861</v>
      </c>
      <c r="K46" s="6">
        <v>41</v>
      </c>
      <c r="L46">
        <f t="shared" si="4"/>
        <v>3.8158389256028524E-3</v>
      </c>
      <c r="M46">
        <f t="shared" si="3"/>
        <v>0.93565899999999969</v>
      </c>
    </row>
    <row r="47" spans="2:13" ht="15.6" thickTop="1" thickBot="1" x14ac:dyDescent="0.35">
      <c r="B47" s="6">
        <v>42</v>
      </c>
      <c r="C47" s="7">
        <v>935659</v>
      </c>
      <c r="D47" s="8">
        <f t="shared" si="0"/>
        <v>220608.83849656183</v>
      </c>
      <c r="E47" s="8">
        <f>SUM(D47:$D$115)</f>
        <v>4352507.355335433</v>
      </c>
      <c r="F47" s="8">
        <f>SUM(E47:$E$115)</f>
        <v>66719491.482461631</v>
      </c>
      <c r="G47" s="9">
        <f t="shared" si="1"/>
        <v>3877</v>
      </c>
      <c r="H47" s="8">
        <f t="shared" si="2"/>
        <v>898.52659236419299</v>
      </c>
      <c r="I47" s="8">
        <f>SUM(H47:$H$115)</f>
        <v>74696.444630163038</v>
      </c>
      <c r="J47" s="10">
        <f>SUM(I47:$I$115)</f>
        <v>2132662.2918517538</v>
      </c>
      <c r="K47" s="6">
        <v>42</v>
      </c>
      <c r="L47">
        <f t="shared" si="4"/>
        <v>4.1436035991744852E-3</v>
      </c>
      <c r="M47">
        <f t="shared" si="3"/>
        <v>0.93178199999999967</v>
      </c>
    </row>
    <row r="48" spans="2:13" ht="15.6" thickTop="1" thickBot="1" x14ac:dyDescent="0.35">
      <c r="B48" s="6">
        <v>43</v>
      </c>
      <c r="C48" s="7">
        <v>931782</v>
      </c>
      <c r="D48" s="8">
        <f t="shared" si="0"/>
        <v>212265.43277232634</v>
      </c>
      <c r="E48" s="8">
        <f>SUM(D48:$D$115)</f>
        <v>4131898.5168388728</v>
      </c>
      <c r="F48" s="8">
        <f>SUM(E48:$E$115)</f>
        <v>62366984.127126217</v>
      </c>
      <c r="G48" s="9">
        <f t="shared" si="1"/>
        <v>4194</v>
      </c>
      <c r="H48" s="8">
        <f t="shared" si="2"/>
        <v>939.1245854408138</v>
      </c>
      <c r="I48" s="8">
        <f>SUM(H48:$H$115)</f>
        <v>73797.918037798838</v>
      </c>
      <c r="J48" s="10">
        <f>SUM(I48:$I$115)</f>
        <v>2057965.8472215913</v>
      </c>
      <c r="K48" s="6">
        <v>43</v>
      </c>
      <c r="L48">
        <f t="shared" si="4"/>
        <v>4.5010528213680883E-3</v>
      </c>
      <c r="M48">
        <f t="shared" si="3"/>
        <v>0.92758799999999975</v>
      </c>
    </row>
    <row r="49" spans="2:13" ht="15.6" thickTop="1" thickBot="1" x14ac:dyDescent="0.35">
      <c r="B49" s="6">
        <v>44</v>
      </c>
      <c r="C49" s="7">
        <v>927588</v>
      </c>
      <c r="D49" s="8">
        <f t="shared" si="0"/>
        <v>204164.26555291555</v>
      </c>
      <c r="E49" s="8">
        <f>SUM(D49:$D$115)</f>
        <v>3919633.0840665461</v>
      </c>
      <c r="F49" s="8">
        <f>SUM(E49:$E$115)</f>
        <v>58235085.610287338</v>
      </c>
      <c r="G49" s="9">
        <f t="shared" si="1"/>
        <v>4523</v>
      </c>
      <c r="H49" s="8">
        <f t="shared" si="2"/>
        <v>978.54549516304655</v>
      </c>
      <c r="I49" s="8">
        <f>SUM(H49:$H$115)</f>
        <v>72858.793452358033</v>
      </c>
      <c r="J49" s="10">
        <f>SUM(I49:$I$115)</f>
        <v>1984167.9291837926</v>
      </c>
      <c r="K49" s="6">
        <v>44</v>
      </c>
      <c r="L49">
        <f t="shared" si="4"/>
        <v>4.8760872283815657E-3</v>
      </c>
      <c r="M49">
        <f t="shared" si="3"/>
        <v>0.92306499999999969</v>
      </c>
    </row>
    <row r="50" spans="2:13" ht="15.6" thickTop="1" thickBot="1" x14ac:dyDescent="0.35">
      <c r="B50" s="6">
        <v>45</v>
      </c>
      <c r="C50" s="7">
        <v>923065</v>
      </c>
      <c r="D50" s="8">
        <f t="shared" si="0"/>
        <v>196298.30220788508</v>
      </c>
      <c r="E50" s="8">
        <f>SUM(D50:$D$115)</f>
        <v>3715468.8185136304</v>
      </c>
      <c r="F50" s="8">
        <f>SUM(E50:$E$115)</f>
        <v>54315452.526220798</v>
      </c>
      <c r="G50" s="9">
        <f t="shared" si="1"/>
        <v>4866</v>
      </c>
      <c r="H50" s="8">
        <f t="shared" si="2"/>
        <v>1017.15277672858</v>
      </c>
      <c r="I50" s="8">
        <f>SUM(H50:$H$115)</f>
        <v>71880.247957194981</v>
      </c>
      <c r="J50" s="10">
        <f>SUM(I50:$I$115)</f>
        <v>1911309.1357314342</v>
      </c>
      <c r="K50" s="6">
        <v>45</v>
      </c>
      <c r="L50">
        <f t="shared" si="4"/>
        <v>5.2715680910878429E-3</v>
      </c>
      <c r="M50">
        <f t="shared" si="3"/>
        <v>0.91819899999999965</v>
      </c>
    </row>
    <row r="51" spans="2:13" ht="15.6" thickTop="1" thickBot="1" x14ac:dyDescent="0.35">
      <c r="B51" s="6">
        <v>46</v>
      </c>
      <c r="C51" s="7">
        <v>918199</v>
      </c>
      <c r="D51" s="8">
        <f t="shared" si="0"/>
        <v>188660.38873587563</v>
      </c>
      <c r="E51" s="8">
        <f>SUM(D51:$D$115)</f>
        <v>3519170.5163057456</v>
      </c>
      <c r="F51" s="8">
        <f>SUM(E51:$E$115)</f>
        <v>50599983.707707167</v>
      </c>
      <c r="G51" s="9">
        <f t="shared" si="1"/>
        <v>5200</v>
      </c>
      <c r="H51" s="8">
        <f t="shared" si="2"/>
        <v>1050.2122464639021</v>
      </c>
      <c r="I51" s="8">
        <f>SUM(H51:$H$115)</f>
        <v>70863.095180466407</v>
      </c>
      <c r="J51" s="10">
        <f>SUM(I51:$I$115)</f>
        <v>1839428.8877742391</v>
      </c>
      <c r="K51" s="6">
        <v>46</v>
      </c>
      <c r="L51">
        <f t="shared" si="4"/>
        <v>5.6632603607714663E-3</v>
      </c>
      <c r="M51">
        <f t="shared" si="3"/>
        <v>0.91299899999999967</v>
      </c>
    </row>
    <row r="52" spans="2:13" ht="15.6" thickTop="1" thickBot="1" x14ac:dyDescent="0.35">
      <c r="B52" s="6">
        <v>47</v>
      </c>
      <c r="C52" s="7">
        <v>912999</v>
      </c>
      <c r="D52" s="8">
        <f t="shared" si="0"/>
        <v>181248.26650695657</v>
      </c>
      <c r="E52" s="8">
        <f>SUM(D52:$D$115)</f>
        <v>3330510.1275698696</v>
      </c>
      <c r="F52" s="8">
        <f>SUM(E52:$E$115)</f>
        <v>47080813.191401422</v>
      </c>
      <c r="G52" s="9">
        <f t="shared" si="1"/>
        <v>5515</v>
      </c>
      <c r="H52" s="8">
        <f t="shared" si="2"/>
        <v>1076.1650946206655</v>
      </c>
      <c r="I52" s="8">
        <f>SUM(H52:$H$115)</f>
        <v>69812.882934002482</v>
      </c>
      <c r="J52" s="10">
        <f>SUM(I52:$I$115)</f>
        <v>1768565.7925937728</v>
      </c>
      <c r="K52" s="6">
        <v>47</v>
      </c>
      <c r="L52">
        <f t="shared" si="4"/>
        <v>6.040532355457125E-3</v>
      </c>
      <c r="M52">
        <f t="shared" si="3"/>
        <v>0.90748399999999974</v>
      </c>
    </row>
    <row r="53" spans="2:13" ht="15.6" thickTop="1" thickBot="1" x14ac:dyDescent="0.35">
      <c r="B53" s="6">
        <v>48</v>
      </c>
      <c r="C53" s="7">
        <v>907484</v>
      </c>
      <c r="D53" s="8">
        <f t="shared" si="0"/>
        <v>174061.28549637759</v>
      </c>
      <c r="E53" s="8">
        <f>SUM(D53:$D$115)</f>
        <v>3149261.8610629127</v>
      </c>
      <c r="F53" s="8">
        <f>SUM(E53:$E$115)</f>
        <v>43750303.063831553</v>
      </c>
      <c r="G53" s="9">
        <f t="shared" si="1"/>
        <v>5815</v>
      </c>
      <c r="H53" s="8">
        <f t="shared" si="2"/>
        <v>1096.3336749960222</v>
      </c>
      <c r="I53" s="8">
        <f>SUM(H53:$H$115)</f>
        <v>68736.717839381818</v>
      </c>
      <c r="J53" s="10">
        <f>SUM(I53:$I$115)</f>
        <v>1698752.9096597706</v>
      </c>
      <c r="K53" s="6">
        <v>48</v>
      </c>
      <c r="L53">
        <f t="shared" si="4"/>
        <v>6.4078264740755758E-3</v>
      </c>
      <c r="M53">
        <f t="shared" si="3"/>
        <v>0.90166899999999972</v>
      </c>
    </row>
    <row r="54" spans="2:13" ht="15.6" thickTop="1" thickBot="1" x14ac:dyDescent="0.35">
      <c r="B54" s="6">
        <v>49</v>
      </c>
      <c r="C54" s="7">
        <v>901669</v>
      </c>
      <c r="D54" s="8">
        <f t="shared" si="0"/>
        <v>167097.51785803121</v>
      </c>
      <c r="E54" s="8">
        <f>SUM(D54:$D$115)</f>
        <v>2975200.5755665349</v>
      </c>
      <c r="F54" s="8">
        <f>SUM(E54:$E$115)</f>
        <v>40601041.202768631</v>
      </c>
      <c r="G54" s="9">
        <f t="shared" si="1"/>
        <v>6108</v>
      </c>
      <c r="H54" s="8">
        <f t="shared" si="2"/>
        <v>1112.6324285228864</v>
      </c>
      <c r="I54" s="8">
        <f>SUM(H54:$H$115)</f>
        <v>67640.384164385803</v>
      </c>
      <c r="J54" s="10">
        <f>SUM(I54:$I$115)</f>
        <v>1630016.1918203887</v>
      </c>
      <c r="K54" s="6">
        <v>49</v>
      </c>
      <c r="L54">
        <f t="shared" si="4"/>
        <v>6.7741044662731004E-3</v>
      </c>
      <c r="M54">
        <f t="shared" si="3"/>
        <v>0.89556099999999972</v>
      </c>
    </row>
    <row r="55" spans="2:13" ht="15.6" thickTop="1" thickBot="1" x14ac:dyDescent="0.35">
      <c r="B55" s="6">
        <v>50</v>
      </c>
      <c r="C55" s="7">
        <v>895561</v>
      </c>
      <c r="D55" s="8">
        <f t="shared" si="0"/>
        <v>160353.21914589949</v>
      </c>
      <c r="E55" s="8">
        <f>SUM(D55:$D$115)</f>
        <v>2808103.0577085037</v>
      </c>
      <c r="F55" s="8">
        <f>SUM(E55:$E$115)</f>
        <v>37625840.627202094</v>
      </c>
      <c r="G55" s="9">
        <f t="shared" si="1"/>
        <v>6395</v>
      </c>
      <c r="H55" s="8">
        <f t="shared" si="2"/>
        <v>1125.5191386609245</v>
      </c>
      <c r="I55" s="8">
        <f>SUM(H55:$H$115)</f>
        <v>66527.751735862912</v>
      </c>
      <c r="J55" s="10">
        <f>SUM(I55:$I$115)</f>
        <v>1562375.8076560027</v>
      </c>
      <c r="K55" s="6">
        <v>50</v>
      </c>
      <c r="L55">
        <f t="shared" si="4"/>
        <v>7.1407754468986477E-3</v>
      </c>
      <c r="M55">
        <f t="shared" si="3"/>
        <v>0.88916599999999979</v>
      </c>
    </row>
    <row r="56" spans="2:13" ht="15.6" thickTop="1" thickBot="1" x14ac:dyDescent="0.35">
      <c r="B56" s="6">
        <v>51</v>
      </c>
      <c r="C56" s="7">
        <v>889166</v>
      </c>
      <c r="D56" s="8">
        <f t="shared" si="0"/>
        <v>153824.32156115101</v>
      </c>
      <c r="E56" s="8">
        <f>SUM(D56:$D$115)</f>
        <v>2647749.838562604</v>
      </c>
      <c r="F56" s="8">
        <f>SUM(E56:$E$115)</f>
        <v>34817737.569493577</v>
      </c>
      <c r="G56" s="9">
        <f t="shared" si="1"/>
        <v>6704</v>
      </c>
      <c r="H56" s="8">
        <f t="shared" si="2"/>
        <v>1140.0029923109978</v>
      </c>
      <c r="I56" s="8">
        <f>SUM(H56:$H$115)</f>
        <v>65402.232597201997</v>
      </c>
      <c r="J56" s="10">
        <f>SUM(I56:$I$115)</f>
        <v>1495848.0559201401</v>
      </c>
      <c r="K56" s="6">
        <v>51</v>
      </c>
      <c r="L56">
        <f t="shared" si="4"/>
        <v>7.5396495142639281E-3</v>
      </c>
      <c r="M56">
        <f t="shared" si="3"/>
        <v>0.88246199999999986</v>
      </c>
    </row>
    <row r="57" spans="2:13" ht="15.6" thickTop="1" thickBot="1" x14ac:dyDescent="0.35">
      <c r="B57" s="6">
        <v>52</v>
      </c>
      <c r="C57" s="7">
        <v>882462</v>
      </c>
      <c r="D57" s="8">
        <f t="shared" si="0"/>
        <v>147501.97110126622</v>
      </c>
      <c r="E57" s="8">
        <f>SUM(D57:$D$115)</f>
        <v>2493925.5170014529</v>
      </c>
      <c r="F57" s="8">
        <f>SUM(E57:$E$115)</f>
        <v>32169987.730930977</v>
      </c>
      <c r="G57" s="9">
        <f t="shared" si="1"/>
        <v>7027</v>
      </c>
      <c r="H57" s="8">
        <f t="shared" si="2"/>
        <v>1154.5203421663869</v>
      </c>
      <c r="I57" s="8">
        <f>SUM(H57:$H$115)</f>
        <v>64262.229604890999</v>
      </c>
      <c r="J57" s="10">
        <f>SUM(I57:$I$115)</f>
        <v>1430445.8233229381</v>
      </c>
      <c r="K57" s="6">
        <v>52</v>
      </c>
      <c r="L57">
        <f t="shared" si="4"/>
        <v>7.9629491128229892E-3</v>
      </c>
      <c r="M57">
        <f t="shared" si="3"/>
        <v>0.87543499999999985</v>
      </c>
    </row>
    <row r="58" spans="2:13" ht="15.6" thickTop="1" thickBot="1" x14ac:dyDescent="0.35">
      <c r="B58" s="6">
        <v>53</v>
      </c>
      <c r="C58" s="7">
        <v>875435</v>
      </c>
      <c r="D58" s="8">
        <f t="shared" si="0"/>
        <v>141379.15015588963</v>
      </c>
      <c r="E58" s="8">
        <f>SUM(D58:$D$115)</f>
        <v>2346423.5459001865</v>
      </c>
      <c r="F58" s="8">
        <f>SUM(E58:$E$115)</f>
        <v>29676062.213929527</v>
      </c>
      <c r="G58" s="9">
        <f t="shared" si="1"/>
        <v>7359</v>
      </c>
      <c r="H58" s="8">
        <f t="shared" si="2"/>
        <v>1168.1808673106209</v>
      </c>
      <c r="I58" s="8">
        <f>SUM(H58:$H$115)</f>
        <v>63107.709262724609</v>
      </c>
      <c r="J58" s="10">
        <f>SUM(I58:$I$115)</f>
        <v>1366183.593718047</v>
      </c>
      <c r="K58" s="6">
        <v>53</v>
      </c>
      <c r="L58">
        <f t="shared" si="4"/>
        <v>8.406106678394169E-3</v>
      </c>
      <c r="M58">
        <f t="shared" si="3"/>
        <v>0.86807599999999985</v>
      </c>
    </row>
    <row r="59" spans="2:13" ht="15.6" thickTop="1" thickBot="1" x14ac:dyDescent="0.35">
      <c r="B59" s="6">
        <v>54</v>
      </c>
      <c r="C59" s="7">
        <v>868076</v>
      </c>
      <c r="D59" s="8">
        <f t="shared" si="0"/>
        <v>135449.95356287781</v>
      </c>
      <c r="E59" s="8">
        <f>SUM(D59:$D$115)</f>
        <v>2205044.3957442967</v>
      </c>
      <c r="F59" s="8">
        <f>SUM(E59:$E$115)</f>
        <v>27329638.668029338</v>
      </c>
      <c r="G59" s="9">
        <f t="shared" si="1"/>
        <v>7711</v>
      </c>
      <c r="H59" s="8">
        <f t="shared" si="2"/>
        <v>1182.6647140583973</v>
      </c>
      <c r="I59" s="8">
        <f>SUM(H59:$H$115)</f>
        <v>61939.528395413996</v>
      </c>
      <c r="J59" s="10">
        <f>SUM(I59:$I$115)</f>
        <v>1303075.8844553225</v>
      </c>
      <c r="K59" s="6">
        <v>54</v>
      </c>
      <c r="L59">
        <f t="shared" si="4"/>
        <v>8.8828627908155502E-3</v>
      </c>
      <c r="M59">
        <f t="shared" si="3"/>
        <v>0.86036499999999982</v>
      </c>
    </row>
    <row r="60" spans="2:13" ht="15.6" thickTop="1" thickBot="1" x14ac:dyDescent="0.35">
      <c r="B60" s="6">
        <v>55</v>
      </c>
      <c r="C60" s="7">
        <v>860365</v>
      </c>
      <c r="D60" s="8">
        <f t="shared" si="0"/>
        <v>129707.02435783227</v>
      </c>
      <c r="E60" s="8">
        <f>SUM(D60:$D$115)</f>
        <v>2069594.4421814184</v>
      </c>
      <c r="F60" s="8">
        <f>SUM(E60:$E$115)</f>
        <v>25124594.272285037</v>
      </c>
      <c r="G60" s="9">
        <f t="shared" si="1"/>
        <v>8066</v>
      </c>
      <c r="H60" s="8">
        <f t="shared" si="2"/>
        <v>1195.2776645190395</v>
      </c>
      <c r="I60" s="8">
        <f>SUM(H60:$H$115)</f>
        <v>60756.8636813556</v>
      </c>
      <c r="J60" s="10">
        <f>SUM(I60:$I$115)</f>
        <v>1241136.3560599086</v>
      </c>
      <c r="K60" s="6">
        <v>55</v>
      </c>
      <c r="L60">
        <f t="shared" si="4"/>
        <v>9.3750908044841434E-3</v>
      </c>
      <c r="M60">
        <f t="shared" si="3"/>
        <v>0.85229899999999981</v>
      </c>
    </row>
    <row r="61" spans="2:13" ht="15.6" thickTop="1" thickBot="1" x14ac:dyDescent="0.35">
      <c r="B61" s="6">
        <v>56</v>
      </c>
      <c r="C61" s="7">
        <v>852299</v>
      </c>
      <c r="D61" s="8">
        <f t="shared" si="0"/>
        <v>124145.90263429776</v>
      </c>
      <c r="E61" s="8">
        <f>SUM(D61:$D$115)</f>
        <v>1939887.4178235861</v>
      </c>
      <c r="F61" s="8">
        <f>SUM(E61:$E$115)</f>
        <v>23054999.830103621</v>
      </c>
      <c r="G61" s="9">
        <f t="shared" si="1"/>
        <v>8425</v>
      </c>
      <c r="H61" s="8">
        <f t="shared" si="2"/>
        <v>1206.2578322526247</v>
      </c>
      <c r="I61" s="8">
        <f>SUM(H61:$H$115)</f>
        <v>59561.586016836554</v>
      </c>
      <c r="J61" s="10">
        <f>SUM(I61:$I$115)</f>
        <v>1180379.4923785531</v>
      </c>
      <c r="K61" s="6">
        <v>56</v>
      </c>
      <c r="L61">
        <f t="shared" si="4"/>
        <v>9.8850286108513562E-3</v>
      </c>
      <c r="M61">
        <f t="shared" si="3"/>
        <v>0.84387399999999979</v>
      </c>
    </row>
    <row r="62" spans="2:13" ht="15.6" thickTop="1" thickBot="1" x14ac:dyDescent="0.35">
      <c r="B62" s="6">
        <v>57</v>
      </c>
      <c r="C62" s="7">
        <v>843874</v>
      </c>
      <c r="D62" s="8">
        <f t="shared" si="0"/>
        <v>118762.04525105099</v>
      </c>
      <c r="E62" s="8">
        <f>SUM(D62:$D$115)</f>
        <v>1815741.5151892884</v>
      </c>
      <c r="F62" s="8">
        <f>SUM(E62:$E$115)</f>
        <v>21115112.412280038</v>
      </c>
      <c r="G62" s="9">
        <f t="shared" si="1"/>
        <v>8941</v>
      </c>
      <c r="H62" s="8">
        <f t="shared" si="2"/>
        <v>1236.8470050511869</v>
      </c>
      <c r="I62" s="8">
        <f>SUM(H62:$H$115)</f>
        <v>58355.32818458393</v>
      </c>
      <c r="J62" s="10">
        <f>SUM(I62:$I$115)</f>
        <v>1120817.9063617166</v>
      </c>
      <c r="K62" s="6">
        <v>57</v>
      </c>
      <c r="L62">
        <f t="shared" si="4"/>
        <v>1.0595183641159699E-2</v>
      </c>
      <c r="M62">
        <f t="shared" si="3"/>
        <v>0.8349329999999997</v>
      </c>
    </row>
    <row r="63" spans="2:13" ht="15.6" thickTop="1" thickBot="1" x14ac:dyDescent="0.35">
      <c r="B63" s="6">
        <v>58</v>
      </c>
      <c r="C63" s="7">
        <v>834933</v>
      </c>
      <c r="D63" s="8">
        <f t="shared" si="0"/>
        <v>113530.18316136849</v>
      </c>
      <c r="E63" s="8">
        <f>SUM(D63:$D$115)</f>
        <v>1696979.4699382372</v>
      </c>
      <c r="F63" s="8">
        <f>SUM(E63:$E$115)</f>
        <v>19299370.897090748</v>
      </c>
      <c r="G63" s="9">
        <f t="shared" si="1"/>
        <v>9531</v>
      </c>
      <c r="H63" s="8">
        <f t="shared" si="2"/>
        <v>1273.8784965685261</v>
      </c>
      <c r="I63" s="8">
        <f>SUM(H63:$H$115)</f>
        <v>57118.481179532748</v>
      </c>
      <c r="J63" s="10">
        <f>SUM(I63:$I$115)</f>
        <v>1062462.5781771326</v>
      </c>
      <c r="K63" s="6">
        <v>58</v>
      </c>
      <c r="L63">
        <f t="shared" si="4"/>
        <v>1.1415287214662733E-2</v>
      </c>
      <c r="M63">
        <f t="shared" si="3"/>
        <v>0.82540199999999964</v>
      </c>
    </row>
    <row r="64" spans="2:13" ht="15.6" thickTop="1" thickBot="1" x14ac:dyDescent="0.35">
      <c r="B64" s="6">
        <v>59</v>
      </c>
      <c r="C64" s="7">
        <v>825402</v>
      </c>
      <c r="D64" s="8">
        <f t="shared" si="0"/>
        <v>108438.84397395961</v>
      </c>
      <c r="E64" s="8">
        <f>SUM(D64:$D$115)</f>
        <v>1583449.2867768689</v>
      </c>
      <c r="F64" s="8">
        <f>SUM(E64:$E$115)</f>
        <v>17602391.427152518</v>
      </c>
      <c r="G64" s="9">
        <f t="shared" si="1"/>
        <v>10282</v>
      </c>
      <c r="H64" s="8">
        <f t="shared" si="2"/>
        <v>1327.7820305382927</v>
      </c>
      <c r="I64" s="8">
        <f>SUM(H64:$H$115)</f>
        <v>55844.602682964221</v>
      </c>
      <c r="J64" s="10">
        <f>SUM(I64:$I$115)</f>
        <v>1005344.0969975997</v>
      </c>
      <c r="K64" s="6">
        <v>59</v>
      </c>
      <c r="L64">
        <f t="shared" si="4"/>
        <v>1.2456960365979245E-2</v>
      </c>
      <c r="M64">
        <f t="shared" si="3"/>
        <v>0.81511999999999962</v>
      </c>
    </row>
    <row r="65" spans="2:13" ht="15.6" thickTop="1" thickBot="1" x14ac:dyDescent="0.35">
      <c r="B65" s="6">
        <v>60</v>
      </c>
      <c r="C65" s="7">
        <v>815120</v>
      </c>
      <c r="D65" s="8">
        <f t="shared" si="0"/>
        <v>103466.69139366513</v>
      </c>
      <c r="E65" s="8">
        <f>SUM(D65:$D$115)</f>
        <v>1475010.4428029093</v>
      </c>
      <c r="F65" s="8">
        <f>SUM(E65:$E$115)</f>
        <v>16018942.140375638</v>
      </c>
      <c r="G65" s="9">
        <f t="shared" si="1"/>
        <v>11026</v>
      </c>
      <c r="H65" s="8">
        <f t="shared" si="2"/>
        <v>1375.7097830282853</v>
      </c>
      <c r="I65" s="8">
        <f>SUM(H65:$H$115)</f>
        <v>54516.820652425937</v>
      </c>
      <c r="J65" s="10">
        <f>SUM(I65:$I$115)</f>
        <v>949499.49431463541</v>
      </c>
      <c r="K65" s="6">
        <v>60</v>
      </c>
      <c r="L65">
        <f t="shared" si="4"/>
        <v>1.352684267347139E-2</v>
      </c>
      <c r="M65">
        <f t="shared" si="3"/>
        <v>0.80409399999999964</v>
      </c>
    </row>
    <row r="66" spans="2:13" ht="15.6" thickTop="1" thickBot="1" x14ac:dyDescent="0.35">
      <c r="B66" s="6">
        <v>61</v>
      </c>
      <c r="C66" s="7">
        <v>804094</v>
      </c>
      <c r="D66" s="8">
        <f t="shared" si="0"/>
        <v>98615.568828249685</v>
      </c>
      <c r="E66" s="8">
        <f>SUM(D66:$D$115)</f>
        <v>1371543.7514092443</v>
      </c>
      <c r="F66" s="8">
        <f>SUM(E66:$E$115)</f>
        <v>14543931.697572729</v>
      </c>
      <c r="G66" s="9">
        <f t="shared" si="1"/>
        <v>11913</v>
      </c>
      <c r="H66" s="8">
        <f t="shared" si="2"/>
        <v>1436.11635959414</v>
      </c>
      <c r="I66" s="8">
        <f>SUM(H66:$H$115)</f>
        <v>53141.110869397649</v>
      </c>
      <c r="J66" s="10">
        <f>SUM(I66:$I$115)</f>
        <v>894982.67366220953</v>
      </c>
      <c r="K66" s="6">
        <v>61</v>
      </c>
      <c r="L66">
        <f t="shared" si="4"/>
        <v>1.4815432026603854E-2</v>
      </c>
      <c r="M66">
        <f t="shared" si="3"/>
        <v>0.79218099999999969</v>
      </c>
    </row>
    <row r="67" spans="2:13" ht="15.6" thickTop="1" thickBot="1" x14ac:dyDescent="0.35">
      <c r="B67" s="6">
        <v>62</v>
      </c>
      <c r="C67" s="7">
        <v>792181</v>
      </c>
      <c r="D67" s="8">
        <f t="shared" si="0"/>
        <v>93869.11746039601</v>
      </c>
      <c r="E67" s="8">
        <f>SUM(D67:$D$115)</f>
        <v>1272928.1825809942</v>
      </c>
      <c r="F67" s="8">
        <f>SUM(E67:$E$115)</f>
        <v>13172387.946163485</v>
      </c>
      <c r="G67" s="9">
        <f t="shared" si="1"/>
        <v>12791</v>
      </c>
      <c r="H67" s="8">
        <f t="shared" si="2"/>
        <v>1489.8160095124958</v>
      </c>
      <c r="I67" s="8">
        <f>SUM(H67:$H$115)</f>
        <v>51704.99450980351</v>
      </c>
      <c r="J67" s="10">
        <f>SUM(I67:$I$115)</f>
        <v>841841.56279281189</v>
      </c>
      <c r="K67" s="6">
        <v>62</v>
      </c>
      <c r="L67">
        <f t="shared" si="4"/>
        <v>1.6146562464891229E-2</v>
      </c>
      <c r="M67">
        <f t="shared" si="3"/>
        <v>0.77938999999999969</v>
      </c>
    </row>
    <row r="68" spans="2:13" ht="15.6" thickTop="1" thickBot="1" x14ac:dyDescent="0.35">
      <c r="B68" s="6">
        <v>63</v>
      </c>
      <c r="C68" s="7">
        <v>779390</v>
      </c>
      <c r="D68" s="8">
        <f t="shared" si="0"/>
        <v>89230.390233620798</v>
      </c>
      <c r="E68" s="8">
        <f>SUM(D68:$D$115)</f>
        <v>1179059.0651205983</v>
      </c>
      <c r="F68" s="8">
        <f>SUM(E68:$E$115)</f>
        <v>11899459.763582492</v>
      </c>
      <c r="G68" s="9">
        <f t="shared" si="1"/>
        <v>13653</v>
      </c>
      <c r="H68" s="8">
        <f t="shared" si="2"/>
        <v>1536.4409665970686</v>
      </c>
      <c r="I68" s="8">
        <f>SUM(H68:$H$115)</f>
        <v>50215.178500291011</v>
      </c>
      <c r="J68" s="10">
        <f>SUM(I68:$I$115)</f>
        <v>790136.5682830083</v>
      </c>
      <c r="K68" s="6">
        <v>63</v>
      </c>
      <c r="L68">
        <f t="shared" si="4"/>
        <v>1.7517545772976303E-2</v>
      </c>
      <c r="M68">
        <f t="shared" si="3"/>
        <v>0.76573699999999978</v>
      </c>
    </row>
    <row r="69" spans="2:13" ht="15.6" thickTop="1" thickBot="1" x14ac:dyDescent="0.35">
      <c r="B69" s="6">
        <v>64</v>
      </c>
      <c r="C69" s="7">
        <v>765737</v>
      </c>
      <c r="D69" s="8">
        <f t="shared" si="0"/>
        <v>84702.698346244273</v>
      </c>
      <c r="E69" s="8">
        <f>SUM(D69:$D$115)</f>
        <v>1089828.6748869775</v>
      </c>
      <c r="F69" s="8">
        <f>SUM(E69:$E$115)</f>
        <v>10720400.698461892</v>
      </c>
      <c r="G69" s="9">
        <f t="shared" si="1"/>
        <v>14647</v>
      </c>
      <c r="H69" s="8">
        <f t="shared" si="2"/>
        <v>1592.5611605063712</v>
      </c>
      <c r="I69" s="8">
        <f>SUM(H69:$H$115)</f>
        <v>48678.737533693944</v>
      </c>
      <c r="J69" s="10">
        <f>SUM(I69:$I$115)</f>
        <v>739921.38978271722</v>
      </c>
      <c r="K69" s="6">
        <v>64</v>
      </c>
      <c r="L69">
        <f t="shared" si="4"/>
        <v>1.9127977360373079E-2</v>
      </c>
      <c r="M69">
        <f t="shared" si="3"/>
        <v>0.75108999999999981</v>
      </c>
    </row>
    <row r="70" spans="2:13" ht="15.6" thickTop="1" thickBot="1" x14ac:dyDescent="0.35">
      <c r="B70" s="6">
        <v>65</v>
      </c>
      <c r="C70" s="7">
        <v>751090</v>
      </c>
      <c r="D70" s="8">
        <f t="shared" ref="D70:D115" si="5">C70*((1+3.5%)^(-B70))</f>
        <v>80272.953671415278</v>
      </c>
      <c r="E70" s="8">
        <f>SUM(D70:$D$115)</f>
        <v>1005125.9765407335</v>
      </c>
      <c r="F70" s="8">
        <f>SUM(E70:$E$115)</f>
        <v>9630572.0235749129</v>
      </c>
      <c r="G70" s="9">
        <f t="shared" ref="G70:G115" si="6">C70-C71</f>
        <v>15611</v>
      </c>
      <c r="H70" s="8">
        <f t="shared" ref="H70:H115" si="7">G70*(1+3.5%)^(-B70-1/2)</f>
        <v>1639.9772076895581</v>
      </c>
      <c r="I70" s="8">
        <f>SUM(H70:$H$115)</f>
        <v>47086.176373187569</v>
      </c>
      <c r="J70" s="10">
        <f>SUM(I70:$I$115)</f>
        <v>691242.65224902332</v>
      </c>
      <c r="K70" s="6">
        <v>65</v>
      </c>
      <c r="L70">
        <f t="shared" si="4"/>
        <v>2.0784459918252139E-2</v>
      </c>
      <c r="M70">
        <f t="shared" si="3"/>
        <v>0.73547899999999977</v>
      </c>
    </row>
    <row r="71" spans="2:13" ht="15.6" thickTop="1" thickBot="1" x14ac:dyDescent="0.35">
      <c r="B71" s="6">
        <v>66</v>
      </c>
      <c r="C71" s="7">
        <v>735479</v>
      </c>
      <c r="D71" s="8">
        <f t="shared" si="5"/>
        <v>75946.399694021296</v>
      </c>
      <c r="E71" s="8">
        <f>SUM(D71:$D$115)</f>
        <v>924853.02286931837</v>
      </c>
      <c r="F71" s="8">
        <f>SUM(E71:$E$115)</f>
        <v>8625446.0470341779</v>
      </c>
      <c r="G71" s="9">
        <f t="shared" si="6"/>
        <v>16578</v>
      </c>
      <c r="H71" s="8">
        <f t="shared" si="7"/>
        <v>1682.6696986596216</v>
      </c>
      <c r="I71" s="8">
        <f>SUM(H71:$H$115)</f>
        <v>45446.199165498023</v>
      </c>
      <c r="J71" s="10">
        <f>SUM(I71:$I$115)</f>
        <v>644156.47587583563</v>
      </c>
      <c r="K71" s="6">
        <v>66</v>
      </c>
      <c r="L71">
        <f t="shared" si="4"/>
        <v>2.2540412438696415E-2</v>
      </c>
      <c r="M71">
        <f t="shared" ref="M71:M115" si="8">M70*(1-L71)</f>
        <v>0.71890099999999979</v>
      </c>
    </row>
    <row r="72" spans="2:13" ht="15.6" thickTop="1" thickBot="1" x14ac:dyDescent="0.35">
      <c r="B72" s="6">
        <v>67</v>
      </c>
      <c r="C72" s="7">
        <v>718901</v>
      </c>
      <c r="D72" s="8">
        <f t="shared" si="5"/>
        <v>71724.189876023171</v>
      </c>
      <c r="E72" s="8">
        <f>SUM(D72:$D$115)</f>
        <v>848906.62317529705</v>
      </c>
      <c r="F72" s="8">
        <f>SUM(E72:$E$115)</f>
        <v>7700593.024164862</v>
      </c>
      <c r="G72" s="9">
        <f t="shared" si="6"/>
        <v>17371</v>
      </c>
      <c r="H72" s="8">
        <f t="shared" si="7"/>
        <v>1703.5355823657969</v>
      </c>
      <c r="I72" s="8">
        <f>SUM(H72:$H$115)</f>
        <v>43763.529466838394</v>
      </c>
      <c r="J72" s="10">
        <f>SUM(I72:$I$115)</f>
        <v>598710.27671033773</v>
      </c>
      <c r="K72" s="6">
        <v>67</v>
      </c>
      <c r="L72">
        <f t="shared" ref="L72:L115" si="9">G72/C72</f>
        <v>2.4163271437930952E-2</v>
      </c>
      <c r="M72">
        <f t="shared" si="8"/>
        <v>0.70152999999999976</v>
      </c>
    </row>
    <row r="73" spans="2:13" ht="15.6" thickTop="1" thickBot="1" x14ac:dyDescent="0.35">
      <c r="B73" s="6">
        <v>68</v>
      </c>
      <c r="C73" s="7">
        <v>701530</v>
      </c>
      <c r="D73" s="8">
        <f t="shared" si="5"/>
        <v>67624.250055442622</v>
      </c>
      <c r="E73" s="8">
        <f>SUM(D73:$D$115)</f>
        <v>777182.43329927383</v>
      </c>
      <c r="F73" s="8">
        <f>SUM(E73:$E$115)</f>
        <v>6851686.4009895651</v>
      </c>
      <c r="G73" s="9">
        <f t="shared" si="6"/>
        <v>18178</v>
      </c>
      <c r="H73" s="8">
        <f t="shared" si="7"/>
        <v>1722.3925497599259</v>
      </c>
      <c r="I73" s="8">
        <f>SUM(H73:$H$115)</f>
        <v>42059.993884472591</v>
      </c>
      <c r="J73" s="10">
        <f>SUM(I73:$I$115)</f>
        <v>554946.74724349938</v>
      </c>
      <c r="K73" s="6">
        <v>68</v>
      </c>
      <c r="L73">
        <f t="shared" si="9"/>
        <v>2.5911935341325389E-2</v>
      </c>
      <c r="M73">
        <f t="shared" si="8"/>
        <v>0.68335199999999974</v>
      </c>
    </row>
    <row r="74" spans="2:13" ht="15.6" thickTop="1" thickBot="1" x14ac:dyDescent="0.35">
      <c r="B74" s="6">
        <v>69</v>
      </c>
      <c r="C74" s="7">
        <v>683352</v>
      </c>
      <c r="D74" s="8">
        <f t="shared" si="5"/>
        <v>63644.420155072839</v>
      </c>
      <c r="E74" s="8">
        <f>SUM(D74:$D$115)</f>
        <v>709558.18324383127</v>
      </c>
      <c r="F74" s="8">
        <f>SUM(E74:$E$115)</f>
        <v>6074503.9676902909</v>
      </c>
      <c r="G74" s="9">
        <f t="shared" si="6"/>
        <v>18989</v>
      </c>
      <c r="H74" s="8">
        <f t="shared" si="7"/>
        <v>1738.3922768771954</v>
      </c>
      <c r="I74" s="8">
        <f>SUM(H74:$H$115)</f>
        <v>40337.601334712665</v>
      </c>
      <c r="J74" s="10">
        <f>SUM(I74:$I$115)</f>
        <v>512886.75335902686</v>
      </c>
      <c r="K74" s="6">
        <v>69</v>
      </c>
      <c r="L74">
        <f t="shared" si="9"/>
        <v>2.7788021400391015E-2</v>
      </c>
      <c r="M74">
        <f t="shared" si="8"/>
        <v>0.6643629999999997</v>
      </c>
    </row>
    <row r="75" spans="2:13" ht="15.6" thickTop="1" thickBot="1" x14ac:dyDescent="0.35">
      <c r="B75" s="6">
        <v>70</v>
      </c>
      <c r="C75" s="7">
        <v>664363</v>
      </c>
      <c r="D75" s="8">
        <f t="shared" si="5"/>
        <v>59783.447000761531</v>
      </c>
      <c r="E75" s="8">
        <f>SUM(D75:$D$115)</f>
        <v>645913.76308875845</v>
      </c>
      <c r="F75" s="8">
        <f>SUM(E75:$E$115)</f>
        <v>5364945.7844464593</v>
      </c>
      <c r="G75" s="9">
        <f t="shared" si="6"/>
        <v>19812</v>
      </c>
      <c r="H75" s="8">
        <f t="shared" si="7"/>
        <v>1752.4016721346679</v>
      </c>
      <c r="I75" s="8">
        <f>SUM(H75:$H$115)</f>
        <v>38599.209057835476</v>
      </c>
      <c r="J75" s="10">
        <f>SUM(I75:$I$115)</f>
        <v>472549.15202431427</v>
      </c>
      <c r="K75" s="6">
        <v>70</v>
      </c>
      <c r="L75">
        <f t="shared" si="9"/>
        <v>2.9821046626618278E-2</v>
      </c>
      <c r="M75">
        <f t="shared" si="8"/>
        <v>0.64455099999999965</v>
      </c>
    </row>
    <row r="76" spans="2:13" ht="15.6" thickTop="1" thickBot="1" x14ac:dyDescent="0.35">
      <c r="B76" s="6">
        <v>71</v>
      </c>
      <c r="C76" s="7">
        <v>644551</v>
      </c>
      <c r="D76" s="8">
        <f t="shared" si="5"/>
        <v>56039.267671740941</v>
      </c>
      <c r="E76" s="8">
        <f>SUM(D76:$D$115)</f>
        <v>586130.31608799694</v>
      </c>
      <c r="F76" s="8">
        <f>SUM(E76:$E$115)</f>
        <v>4719032.0213577012</v>
      </c>
      <c r="G76" s="9">
        <f t="shared" si="6"/>
        <v>20634</v>
      </c>
      <c r="H76" s="8">
        <f t="shared" si="7"/>
        <v>1763.3901721021443</v>
      </c>
      <c r="I76" s="8">
        <f>SUM(H76:$H$115)</f>
        <v>36846.807385700806</v>
      </c>
      <c r="J76" s="10">
        <f>SUM(I76:$I$115)</f>
        <v>433949.94296647876</v>
      </c>
      <c r="K76" s="6">
        <v>71</v>
      </c>
      <c r="L76">
        <f t="shared" si="9"/>
        <v>3.2012982680967063E-2</v>
      </c>
      <c r="M76">
        <f t="shared" si="8"/>
        <v>0.62391699999999961</v>
      </c>
    </row>
    <row r="77" spans="2:13" ht="15.6" thickTop="1" thickBot="1" x14ac:dyDescent="0.35">
      <c r="B77" s="6">
        <v>72</v>
      </c>
      <c r="C77" s="7">
        <v>623917</v>
      </c>
      <c r="D77" s="8">
        <f t="shared" si="5"/>
        <v>52410.901996436158</v>
      </c>
      <c r="E77" s="8">
        <f>SUM(D77:$D$115)</f>
        <v>530091.04841625597</v>
      </c>
      <c r="F77" s="8">
        <f>SUM(E77:$E$115)</f>
        <v>4132901.7052697055</v>
      </c>
      <c r="G77" s="9">
        <f t="shared" si="6"/>
        <v>21427</v>
      </c>
      <c r="H77" s="8">
        <f t="shared" si="7"/>
        <v>1769.2369855125207</v>
      </c>
      <c r="I77" s="8">
        <f>SUM(H77:$H$115)</f>
        <v>35083.417213598659</v>
      </c>
      <c r="J77" s="10">
        <f>SUM(I77:$I$115)</f>
        <v>397103.13558077801</v>
      </c>
      <c r="K77" s="6">
        <v>72</v>
      </c>
      <c r="L77">
        <f t="shared" si="9"/>
        <v>3.4342709046235313E-2</v>
      </c>
      <c r="M77">
        <f t="shared" si="8"/>
        <v>0.60248999999999964</v>
      </c>
    </row>
    <row r="78" spans="2:13" ht="15.6" thickTop="1" thickBot="1" x14ac:dyDescent="0.35">
      <c r="B78" s="6">
        <v>73</v>
      </c>
      <c r="C78" s="7">
        <v>602490</v>
      </c>
      <c r="D78" s="8">
        <f t="shared" si="5"/>
        <v>48899.487573257786</v>
      </c>
      <c r="E78" s="8">
        <f>SUM(D78:$D$115)</f>
        <v>477680.14641981985</v>
      </c>
      <c r="F78" s="8">
        <f>SUM(E78:$E$115)</f>
        <v>3602810.6568534495</v>
      </c>
      <c r="G78" s="9">
        <f t="shared" si="6"/>
        <v>22187</v>
      </c>
      <c r="H78" s="8">
        <f t="shared" si="7"/>
        <v>1770.0391554186706</v>
      </c>
      <c r="I78" s="8">
        <f>SUM(H78:$H$115)</f>
        <v>33314.180228086145</v>
      </c>
      <c r="J78" s="10">
        <f>SUM(I78:$I$115)</f>
        <v>362019.71836717939</v>
      </c>
      <c r="K78" s="6">
        <v>73</v>
      </c>
      <c r="L78">
        <f t="shared" si="9"/>
        <v>3.6825507477302531E-2</v>
      </c>
      <c r="M78">
        <f t="shared" si="8"/>
        <v>0.58030299999999968</v>
      </c>
    </row>
    <row r="79" spans="2:13" ht="15.6" thickTop="1" thickBot="1" x14ac:dyDescent="0.35">
      <c r="B79" s="6">
        <v>74</v>
      </c>
      <c r="C79" s="7">
        <v>580303</v>
      </c>
      <c r="D79" s="8">
        <f t="shared" si="5"/>
        <v>45506.028142987947</v>
      </c>
      <c r="E79" s="8">
        <f>SUM(D79:$D$115)</f>
        <v>428780.65884656203</v>
      </c>
      <c r="F79" s="8">
        <f>SUM(E79:$E$115)</f>
        <v>3125130.5104336292</v>
      </c>
      <c r="G79" s="9">
        <f t="shared" si="6"/>
        <v>22921</v>
      </c>
      <c r="H79" s="8">
        <f t="shared" si="7"/>
        <v>1766.7597699462931</v>
      </c>
      <c r="I79" s="8">
        <f>SUM(H79:$H$115)</f>
        <v>31544.141072667466</v>
      </c>
      <c r="J79" s="10">
        <f>SUM(I79:$I$115)</f>
        <v>328705.5381390932</v>
      </c>
      <c r="K79" s="6">
        <v>74</v>
      </c>
      <c r="L79">
        <f t="shared" si="9"/>
        <v>3.949833104429927E-2</v>
      </c>
      <c r="M79">
        <f t="shared" si="8"/>
        <v>0.55738199999999971</v>
      </c>
    </row>
    <row r="80" spans="2:13" ht="15.6" thickTop="1" thickBot="1" x14ac:dyDescent="0.35">
      <c r="B80" s="6">
        <v>75</v>
      </c>
      <c r="C80" s="7">
        <v>557382</v>
      </c>
      <c r="D80" s="8">
        <f t="shared" si="5"/>
        <v>42230.546839502422</v>
      </c>
      <c r="E80" s="8">
        <f>SUM(D80:$D$115)</f>
        <v>383274.63070357405</v>
      </c>
      <c r="F80" s="8">
        <f>SUM(E80:$E$115)</f>
        <v>2696349.8515870674</v>
      </c>
      <c r="G80" s="9">
        <f t="shared" si="6"/>
        <v>23642</v>
      </c>
      <c r="H80" s="8">
        <f t="shared" si="7"/>
        <v>1760.7098897376454</v>
      </c>
      <c r="I80" s="8">
        <f>SUM(H80:$H$115)</f>
        <v>29777.381302721173</v>
      </c>
      <c r="J80" s="10">
        <f>SUM(I80:$I$115)</f>
        <v>297161.39706642576</v>
      </c>
      <c r="K80" s="6">
        <v>75</v>
      </c>
      <c r="L80">
        <f t="shared" si="9"/>
        <v>4.2416152656526401E-2</v>
      </c>
      <c r="M80">
        <f t="shared" si="8"/>
        <v>0.53373999999999966</v>
      </c>
    </row>
    <row r="81" spans="2:13" ht="15.6" thickTop="1" thickBot="1" x14ac:dyDescent="0.35">
      <c r="B81" s="6">
        <v>76</v>
      </c>
      <c r="C81" s="7">
        <v>533740</v>
      </c>
      <c r="D81" s="8">
        <f t="shared" si="5"/>
        <v>39071.777312067155</v>
      </c>
      <c r="E81" s="8">
        <f>SUM(D81:$D$115)</f>
        <v>341044.08386407164</v>
      </c>
      <c r="F81" s="8">
        <f>SUM(E81:$E$115)</f>
        <v>2313075.2208834928</v>
      </c>
      <c r="G81" s="9">
        <f t="shared" si="6"/>
        <v>24351</v>
      </c>
      <c r="H81" s="8">
        <f t="shared" si="7"/>
        <v>1752.1853364621882</v>
      </c>
      <c r="I81" s="8">
        <f>SUM(H81:$H$115)</f>
        <v>28016.671412983527</v>
      </c>
      <c r="J81" s="10">
        <f>SUM(I81:$I$115)</f>
        <v>267384.01576370455</v>
      </c>
      <c r="K81" s="6">
        <v>76</v>
      </c>
      <c r="L81">
        <f t="shared" si="9"/>
        <v>4.56233372053809E-2</v>
      </c>
      <c r="M81">
        <f t="shared" si="8"/>
        <v>0.50938899999999965</v>
      </c>
    </row>
    <row r="82" spans="2:13" ht="15.6" thickTop="1" thickBot="1" x14ac:dyDescent="0.35">
      <c r="B82" s="6">
        <v>77</v>
      </c>
      <c r="C82" s="7">
        <v>509389</v>
      </c>
      <c r="D82" s="8">
        <f t="shared" si="5"/>
        <v>36028.205256565379</v>
      </c>
      <c r="E82" s="8">
        <f>SUM(D82:$D$115)</f>
        <v>301972.30655200448</v>
      </c>
      <c r="F82" s="8">
        <f>SUM(E82:$E$115)</f>
        <v>1972031.1370194221</v>
      </c>
      <c r="G82" s="9">
        <f t="shared" si="6"/>
        <v>25022</v>
      </c>
      <c r="H82" s="8">
        <f t="shared" si="7"/>
        <v>1739.5820223021276</v>
      </c>
      <c r="I82" s="8">
        <f>SUM(H82:$H$115)</f>
        <v>26264.486076521342</v>
      </c>
      <c r="J82" s="10">
        <f>SUM(I82:$I$115)</f>
        <v>239367.34435072102</v>
      </c>
      <c r="K82" s="6">
        <v>77</v>
      </c>
      <c r="L82">
        <f t="shared" si="9"/>
        <v>4.9121594694820657E-2</v>
      </c>
      <c r="M82">
        <f t="shared" si="8"/>
        <v>0.48436699999999966</v>
      </c>
    </row>
    <row r="83" spans="2:13" ht="15.6" thickTop="1" thickBot="1" x14ac:dyDescent="0.35">
      <c r="B83" s="6">
        <v>78</v>
      </c>
      <c r="C83" s="7">
        <v>484367</v>
      </c>
      <c r="D83" s="8">
        <f t="shared" si="5"/>
        <v>33099.944309536775</v>
      </c>
      <c r="E83" s="8">
        <f>SUM(D83:$D$115)</f>
        <v>265944.10129543912</v>
      </c>
      <c r="F83" s="8">
        <f>SUM(E83:$E$115)</f>
        <v>1670058.8304674181</v>
      </c>
      <c r="G83" s="9">
        <f t="shared" si="6"/>
        <v>25672</v>
      </c>
      <c r="H83" s="8">
        <f t="shared" si="7"/>
        <v>1724.4168002318427</v>
      </c>
      <c r="I83" s="8">
        <f>SUM(H83:$H$115)</f>
        <v>24524.904054219212</v>
      </c>
      <c r="J83" s="10">
        <f>SUM(I83:$I$115)</f>
        <v>213102.85827419968</v>
      </c>
      <c r="K83" s="6">
        <v>78</v>
      </c>
      <c r="L83">
        <f t="shared" si="9"/>
        <v>5.3001133438074846E-2</v>
      </c>
      <c r="M83">
        <f t="shared" si="8"/>
        <v>0.45869499999999963</v>
      </c>
    </row>
    <row r="84" spans="2:13" ht="15.6" thickTop="1" thickBot="1" x14ac:dyDescent="0.35">
      <c r="B84" s="6">
        <v>79</v>
      </c>
      <c r="C84" s="7">
        <v>458695</v>
      </c>
      <c r="D84" s="8">
        <f t="shared" si="5"/>
        <v>30285.613279607896</v>
      </c>
      <c r="E84" s="8">
        <f>SUM(D84:$D$115)</f>
        <v>232844.15698590226</v>
      </c>
      <c r="F84" s="8">
        <f>SUM(E84:$E$115)</f>
        <v>1404114.7291719788</v>
      </c>
      <c r="G84" s="9">
        <f t="shared" si="6"/>
        <v>26347</v>
      </c>
      <c r="H84" s="8">
        <f t="shared" si="7"/>
        <v>1709.9104359157586</v>
      </c>
      <c r="I84" s="8">
        <f>SUM(H84:$H$115)</f>
        <v>22800.487253987369</v>
      </c>
      <c r="J84" s="10">
        <f>SUM(I84:$I$115)</f>
        <v>188577.95421998049</v>
      </c>
      <c r="K84" s="6">
        <v>79</v>
      </c>
      <c r="L84">
        <f t="shared" si="9"/>
        <v>5.7439039012851675E-2</v>
      </c>
      <c r="M84">
        <f t="shared" si="8"/>
        <v>0.43234799999999968</v>
      </c>
    </row>
    <row r="85" spans="2:13" ht="15.6" thickTop="1" thickBot="1" x14ac:dyDescent="0.35">
      <c r="B85" s="6">
        <v>80</v>
      </c>
      <c r="C85" s="7">
        <v>432348</v>
      </c>
      <c r="D85" s="8">
        <f t="shared" si="5"/>
        <v>27580.711842427409</v>
      </c>
      <c r="E85" s="8">
        <f>SUM(D85:$D$115)</f>
        <v>202558.54370629435</v>
      </c>
      <c r="F85" s="8">
        <f>SUM(E85:$E$115)</f>
        <v>1171270.5721860765</v>
      </c>
      <c r="G85" s="9">
        <f t="shared" si="6"/>
        <v>27049</v>
      </c>
      <c r="H85" s="8">
        <f t="shared" si="7"/>
        <v>1696.1062541962847</v>
      </c>
      <c r="I85" s="8">
        <f>SUM(H85:$H$115)</f>
        <v>21090.576818071611</v>
      </c>
      <c r="J85" s="10">
        <f>SUM(I85:$I$115)</f>
        <v>165777.46696599311</v>
      </c>
      <c r="K85" s="6">
        <v>80</v>
      </c>
      <c r="L85">
        <f t="shared" si="9"/>
        <v>6.2563027931203566E-2</v>
      </c>
      <c r="M85">
        <f t="shared" si="8"/>
        <v>0.40529899999999969</v>
      </c>
    </row>
    <row r="86" spans="2:13" ht="15.6" thickTop="1" thickBot="1" x14ac:dyDescent="0.35">
      <c r="B86" s="6">
        <v>81</v>
      </c>
      <c r="C86" s="7">
        <v>405299</v>
      </c>
      <c r="D86" s="8">
        <f t="shared" si="5"/>
        <v>24980.849272528645</v>
      </c>
      <c r="E86" s="8">
        <f>SUM(D86:$D$115)</f>
        <v>174977.83186386697</v>
      </c>
      <c r="F86" s="8">
        <f>SUM(E86:$E$115)</f>
        <v>968712.02847978228</v>
      </c>
      <c r="G86" s="9">
        <f t="shared" si="6"/>
        <v>27722</v>
      </c>
      <c r="H86" s="8">
        <f t="shared" si="7"/>
        <v>1679.5233691595097</v>
      </c>
      <c r="I86" s="8">
        <f>SUM(H86:$H$115)</f>
        <v>19394.470563875329</v>
      </c>
      <c r="J86" s="10">
        <f>SUM(I86:$I$115)</f>
        <v>144686.89014792148</v>
      </c>
      <c r="K86" s="6">
        <v>81</v>
      </c>
      <c r="L86">
        <f t="shared" si="9"/>
        <v>6.8398885760882711E-2</v>
      </c>
      <c r="M86">
        <f t="shared" si="8"/>
        <v>0.37757699999999972</v>
      </c>
    </row>
    <row r="87" spans="2:13" ht="15.6" thickTop="1" thickBot="1" x14ac:dyDescent="0.35">
      <c r="B87" s="6">
        <v>82</v>
      </c>
      <c r="C87" s="7">
        <v>377577</v>
      </c>
      <c r="D87" s="8">
        <f t="shared" si="5"/>
        <v>22485.204847272587</v>
      </c>
      <c r="E87" s="8">
        <f>SUM(D87:$D$115)</f>
        <v>149996.98259133831</v>
      </c>
      <c r="F87" s="8">
        <f>SUM(E87:$E$115)</f>
        <v>793734.1966159154</v>
      </c>
      <c r="G87" s="9">
        <f t="shared" si="6"/>
        <v>28260</v>
      </c>
      <c r="H87" s="8">
        <f t="shared" si="7"/>
        <v>1654.2201231358736</v>
      </c>
      <c r="I87" s="8">
        <f>SUM(H87:$H$115)</f>
        <v>17714.94719471582</v>
      </c>
      <c r="J87" s="10">
        <f>SUM(I87:$I$115)</f>
        <v>125292.41958404613</v>
      </c>
      <c r="K87" s="6">
        <v>82</v>
      </c>
      <c r="L87">
        <f t="shared" si="9"/>
        <v>7.4845660620217858E-2</v>
      </c>
      <c r="M87">
        <f t="shared" si="8"/>
        <v>0.34931699999999971</v>
      </c>
    </row>
    <row r="88" spans="2:13" ht="15.6" thickTop="1" thickBot="1" x14ac:dyDescent="0.35">
      <c r="B88" s="6">
        <v>83</v>
      </c>
      <c r="C88" s="11">
        <v>349317</v>
      </c>
      <c r="D88" s="12">
        <f t="shared" si="5"/>
        <v>20098.825928789902</v>
      </c>
      <c r="E88" s="12">
        <f>SUM(D88:$D$115)</f>
        <v>127511.77774406574</v>
      </c>
      <c r="F88" s="12">
        <f>SUM(E88:$E$115)</f>
        <v>643737.21402457706</v>
      </c>
      <c r="G88" s="12">
        <f t="shared" si="6"/>
        <v>28556</v>
      </c>
      <c r="H88" s="12">
        <f t="shared" si="7"/>
        <v>1615.020969406512</v>
      </c>
      <c r="I88" s="12">
        <f>SUM(H88:$H$115)</f>
        <v>16060.72707157995</v>
      </c>
      <c r="J88" s="12">
        <f>SUM(I88:$I$115)</f>
        <v>107577.47238933029</v>
      </c>
      <c r="K88" s="6">
        <v>83</v>
      </c>
      <c r="L88">
        <f t="shared" si="9"/>
        <v>8.1748097000718542E-2</v>
      </c>
      <c r="M88">
        <f t="shared" si="8"/>
        <v>0.32076099999999974</v>
      </c>
    </row>
    <row r="89" spans="2:13" ht="15.6" thickTop="1" thickBot="1" x14ac:dyDescent="0.35">
      <c r="B89" s="6">
        <v>84</v>
      </c>
      <c r="C89" s="7">
        <v>320761</v>
      </c>
      <c r="D89" s="8">
        <f t="shared" si="5"/>
        <v>17831.676480350368</v>
      </c>
      <c r="E89" s="8">
        <f>SUM(D89:$D$115)</f>
        <v>107412.95181527582</v>
      </c>
      <c r="F89" s="8">
        <f>SUM(E89:$E$115)</f>
        <v>516225.43628051103</v>
      </c>
      <c r="G89" s="9">
        <f t="shared" si="6"/>
        <v>28543</v>
      </c>
      <c r="H89" s="8">
        <f t="shared" si="7"/>
        <v>1559.6963650631758</v>
      </c>
      <c r="I89" s="8">
        <f>SUM(H89:$H$115)</f>
        <v>14445.706102173433</v>
      </c>
      <c r="J89" s="10">
        <f>SUM(I89:$I$115)</f>
        <v>91516.745317750348</v>
      </c>
      <c r="K89" s="6">
        <v>84</v>
      </c>
      <c r="L89">
        <f t="shared" si="9"/>
        <v>8.8985256935849438E-2</v>
      </c>
      <c r="M89">
        <f t="shared" si="8"/>
        <v>0.29221799999999976</v>
      </c>
    </row>
    <row r="90" spans="2:13" ht="15.6" thickTop="1" thickBot="1" x14ac:dyDescent="0.35">
      <c r="B90" s="6">
        <v>85</v>
      </c>
      <c r="C90" s="7">
        <v>292218</v>
      </c>
      <c r="D90" s="8">
        <f t="shared" si="5"/>
        <v>15695.575040724107</v>
      </c>
      <c r="E90" s="8">
        <f>SUM(D90:$D$115)</f>
        <v>89581.275334925449</v>
      </c>
      <c r="F90" s="8">
        <f>SUM(E90:$E$115)</f>
        <v>408812.48446523526</v>
      </c>
      <c r="G90" s="9">
        <f t="shared" si="6"/>
        <v>28248</v>
      </c>
      <c r="H90" s="8">
        <f t="shared" si="7"/>
        <v>1491.3782229846815</v>
      </c>
      <c r="I90" s="8">
        <f>SUM(H90:$H$115)</f>
        <v>12886.00973711026</v>
      </c>
      <c r="J90" s="10">
        <f>SUM(I90:$I$115)</f>
        <v>77071.039215576922</v>
      </c>
      <c r="K90" s="6">
        <v>85</v>
      </c>
      <c r="L90">
        <f t="shared" si="9"/>
        <v>9.6667556413362624E-2</v>
      </c>
      <c r="M90">
        <f t="shared" si="8"/>
        <v>0.26396999999999976</v>
      </c>
    </row>
    <row r="91" spans="2:13" ht="15.6" thickTop="1" thickBot="1" x14ac:dyDescent="0.35">
      <c r="B91" s="6">
        <v>86</v>
      </c>
      <c r="C91" s="7">
        <v>263970</v>
      </c>
      <c r="D91" s="8">
        <f t="shared" si="5"/>
        <v>13698.861985540812</v>
      </c>
      <c r="E91" s="8">
        <f>SUM(D91:$D$115)</f>
        <v>73885.70029420135</v>
      </c>
      <c r="F91" s="8">
        <f>SUM(E91:$E$115)</f>
        <v>319231.20913030981</v>
      </c>
      <c r="G91" s="9">
        <f t="shared" si="6"/>
        <v>27685</v>
      </c>
      <c r="H91" s="8">
        <f t="shared" si="7"/>
        <v>1412.2262207381586</v>
      </c>
      <c r="I91" s="8">
        <f>SUM(H91:$H$115)</f>
        <v>11394.631514125576</v>
      </c>
      <c r="J91" s="10">
        <f>SUM(I91:$I$115)</f>
        <v>64185.029478466677</v>
      </c>
      <c r="K91" s="6">
        <v>86</v>
      </c>
      <c r="L91">
        <f t="shared" si="9"/>
        <v>0.10487934234950941</v>
      </c>
      <c r="M91">
        <f t="shared" si="8"/>
        <v>0.2362849999999998</v>
      </c>
    </row>
    <row r="92" spans="2:13" ht="15.6" thickTop="1" thickBot="1" x14ac:dyDescent="0.35">
      <c r="B92" s="6">
        <v>87</v>
      </c>
      <c r="C92" s="7">
        <v>236285</v>
      </c>
      <c r="D92" s="8">
        <f t="shared" si="5"/>
        <v>11847.472801507825</v>
      </c>
      <c r="E92" s="8">
        <f>SUM(D92:$D$115)</f>
        <v>60186.838308660561</v>
      </c>
      <c r="F92" s="8">
        <f>SUM(E92:$E$115)</f>
        <v>245345.50883610843</v>
      </c>
      <c r="G92" s="9">
        <f t="shared" si="6"/>
        <v>26840</v>
      </c>
      <c r="H92" s="8">
        <f t="shared" si="7"/>
        <v>1322.8235092901489</v>
      </c>
      <c r="I92" s="8">
        <f>SUM(H92:$H$115)</f>
        <v>9982.4052933874154</v>
      </c>
      <c r="J92" s="10">
        <f>SUM(I92:$I$115)</f>
        <v>52790.3979643411</v>
      </c>
      <c r="K92" s="6">
        <v>87</v>
      </c>
      <c r="L92">
        <f t="shared" si="9"/>
        <v>0.11359163721776667</v>
      </c>
      <c r="M92">
        <f t="shared" si="8"/>
        <v>0.20944499999999983</v>
      </c>
    </row>
    <row r="93" spans="2:13" ht="15.6" thickTop="1" thickBot="1" x14ac:dyDescent="0.35">
      <c r="B93" s="6">
        <v>88</v>
      </c>
      <c r="C93" s="7">
        <v>209445</v>
      </c>
      <c r="D93" s="8">
        <f t="shared" si="5"/>
        <v>10146.569052262408</v>
      </c>
      <c r="E93" s="8">
        <f>SUM(D93:$D$115)</f>
        <v>48339.365507152732</v>
      </c>
      <c r="F93" s="8">
        <f>SUM(E93:$E$115)</f>
        <v>185158.67052744783</v>
      </c>
      <c r="G93" s="9">
        <f t="shared" si="6"/>
        <v>25718</v>
      </c>
      <c r="H93" s="8">
        <f t="shared" si="7"/>
        <v>1224.6619801696238</v>
      </c>
      <c r="I93" s="8">
        <f>SUM(H93:$H$115)</f>
        <v>8659.5817840972668</v>
      </c>
      <c r="J93" s="10">
        <f>SUM(I93:$I$115)</f>
        <v>42807.992670953681</v>
      </c>
      <c r="K93" s="6">
        <v>88</v>
      </c>
      <c r="L93">
        <f t="shared" si="9"/>
        <v>0.12279118623027525</v>
      </c>
      <c r="M93">
        <f t="shared" si="8"/>
        <v>0.18372699999999983</v>
      </c>
    </row>
    <row r="94" spans="2:13" ht="15.6" thickTop="1" thickBot="1" x14ac:dyDescent="0.35">
      <c r="B94" s="6">
        <v>89</v>
      </c>
      <c r="C94" s="7">
        <v>183727</v>
      </c>
      <c r="D94" s="8">
        <f t="shared" si="5"/>
        <v>8599.6713064422293</v>
      </c>
      <c r="E94" s="8">
        <f>SUM(D94:$D$115)</f>
        <v>38192.796454890326</v>
      </c>
      <c r="F94" s="8">
        <f>SUM(E94:$E$115)</f>
        <v>136819.30502029514</v>
      </c>
      <c r="G94" s="9">
        <f t="shared" si="6"/>
        <v>24318</v>
      </c>
      <c r="H94" s="8">
        <f t="shared" si="7"/>
        <v>1118.8362981834155</v>
      </c>
      <c r="I94" s="8">
        <f>SUM(H94:$H$115)</f>
        <v>7434.9198039276444</v>
      </c>
      <c r="J94" s="10">
        <f>SUM(I94:$I$115)</f>
        <v>34148.410886856407</v>
      </c>
      <c r="K94" s="6">
        <v>89</v>
      </c>
      <c r="L94">
        <f t="shared" si="9"/>
        <v>0.132359424581036</v>
      </c>
      <c r="M94">
        <f t="shared" si="8"/>
        <v>0.15940899999999986</v>
      </c>
    </row>
    <row r="95" spans="2:13" ht="15.6" thickTop="1" thickBot="1" x14ac:dyDescent="0.35">
      <c r="B95" s="6">
        <v>90</v>
      </c>
      <c r="C95" s="7">
        <v>159409</v>
      </c>
      <c r="D95" s="8">
        <f t="shared" si="5"/>
        <v>7209.105082836224</v>
      </c>
      <c r="E95" s="8">
        <f>SUM(D95:$D$115)</f>
        <v>29593.125148448093</v>
      </c>
      <c r="F95" s="8">
        <f>SUM(E95:$E$115)</f>
        <v>98626.508565404831</v>
      </c>
      <c r="G95" s="9">
        <f t="shared" si="6"/>
        <v>22676</v>
      </c>
      <c r="H95" s="8">
        <f t="shared" si="7"/>
        <v>1008.0098874139522</v>
      </c>
      <c r="I95" s="8">
        <f>SUM(H95:$H$115)</f>
        <v>6316.0835057442291</v>
      </c>
      <c r="J95" s="10">
        <f>SUM(I95:$I$115)</f>
        <v>26713.491082928776</v>
      </c>
      <c r="K95" s="6">
        <v>90</v>
      </c>
      <c r="L95">
        <f t="shared" si="9"/>
        <v>0.14225043755371403</v>
      </c>
      <c r="M95">
        <f t="shared" si="8"/>
        <v>0.13673299999999988</v>
      </c>
    </row>
    <row r="96" spans="2:13" ht="15.6" thickTop="1" thickBot="1" x14ac:dyDescent="0.35">
      <c r="B96" s="6">
        <v>91</v>
      </c>
      <c r="C96" s="7">
        <v>136733</v>
      </c>
      <c r="D96" s="8">
        <f t="shared" si="5"/>
        <v>5974.4992564561026</v>
      </c>
      <c r="E96" s="8">
        <f>SUM(D96:$D$115)</f>
        <v>22384.020065611865</v>
      </c>
      <c r="F96" s="8">
        <f>SUM(E96:$E$115)</f>
        <v>69033.383416956727</v>
      </c>
      <c r="G96" s="9">
        <f t="shared" si="6"/>
        <v>21960</v>
      </c>
      <c r="H96" s="8">
        <f t="shared" si="7"/>
        <v>943.17076291733201</v>
      </c>
      <c r="I96" s="8">
        <f>SUM(H96:$H$115)</f>
        <v>5308.073618330277</v>
      </c>
      <c r="J96" s="10">
        <f>SUM(I96:$I$115)</f>
        <v>20397.407577184549</v>
      </c>
      <c r="K96" s="6">
        <v>91</v>
      </c>
      <c r="L96">
        <f t="shared" si="9"/>
        <v>0.16060497465864129</v>
      </c>
      <c r="M96">
        <f t="shared" si="8"/>
        <v>0.1147729999999999</v>
      </c>
    </row>
    <row r="97" spans="2:13" ht="15.6" thickTop="1" thickBot="1" x14ac:dyDescent="0.35">
      <c r="B97" s="6">
        <v>92</v>
      </c>
      <c r="C97" s="7">
        <v>114773</v>
      </c>
      <c r="D97" s="8">
        <f t="shared" si="5"/>
        <v>4845.3767678984532</v>
      </c>
      <c r="E97" s="8">
        <f>SUM(D97:$D$115)</f>
        <v>16409.520809155762</v>
      </c>
      <c r="F97" s="8">
        <f>SUM(E97:$E$115)</f>
        <v>46649.363351344851</v>
      </c>
      <c r="G97" s="9">
        <f t="shared" si="6"/>
        <v>21943</v>
      </c>
      <c r="H97" s="8">
        <f t="shared" si="7"/>
        <v>910.57064890468519</v>
      </c>
      <c r="I97" s="8">
        <f>SUM(H97:$H$115)</f>
        <v>4364.9028554129445</v>
      </c>
      <c r="J97" s="10">
        <f>SUM(I97:$I$115)</f>
        <v>15089.333958854268</v>
      </c>
      <c r="K97" s="6">
        <v>92</v>
      </c>
      <c r="L97">
        <f t="shared" si="9"/>
        <v>0.19118608034990808</v>
      </c>
      <c r="M97">
        <f t="shared" si="8"/>
        <v>9.2829999999999913E-2</v>
      </c>
    </row>
    <row r="98" spans="2:13" ht="15.6" thickTop="1" thickBot="1" x14ac:dyDescent="0.35">
      <c r="B98" s="6">
        <v>93</v>
      </c>
      <c r="C98" s="7">
        <v>92830</v>
      </c>
      <c r="D98" s="8">
        <f t="shared" si="5"/>
        <v>3786.4813292999443</v>
      </c>
      <c r="E98" s="8">
        <f>SUM(D98:$D$115)</f>
        <v>11564.144041257305</v>
      </c>
      <c r="F98" s="8">
        <f>SUM(E98:$E$115)</f>
        <v>30239.842542189104</v>
      </c>
      <c r="G98" s="9">
        <f t="shared" si="6"/>
        <v>21051</v>
      </c>
      <c r="H98" s="8">
        <f t="shared" si="7"/>
        <v>844.01472898678503</v>
      </c>
      <c r="I98" s="8">
        <f>SUM(H98:$H$115)</f>
        <v>3454.3322065082607</v>
      </c>
      <c r="J98" s="10">
        <f>SUM(I98:$I$115)</f>
        <v>10724.431103441324</v>
      </c>
      <c r="K98" s="6">
        <v>93</v>
      </c>
      <c r="L98">
        <f t="shared" si="9"/>
        <v>0.22676936335236453</v>
      </c>
      <c r="M98">
        <f t="shared" si="8"/>
        <v>7.177899999999994E-2</v>
      </c>
    </row>
    <row r="99" spans="2:13" ht="15.6" thickTop="1" thickBot="1" x14ac:dyDescent="0.35">
      <c r="B99" s="6">
        <v>94</v>
      </c>
      <c r="C99" s="7">
        <v>71779</v>
      </c>
      <c r="D99" s="8">
        <f t="shared" si="5"/>
        <v>2828.8148491874213</v>
      </c>
      <c r="E99" s="8">
        <f>SUM(D99:$D$115)</f>
        <v>7777.6627119573614</v>
      </c>
      <c r="F99" s="8">
        <f>SUM(E99:$E$115)</f>
        <v>18675.698500931798</v>
      </c>
      <c r="G99" s="9">
        <f t="shared" si="6"/>
        <v>19222</v>
      </c>
      <c r="H99" s="8">
        <f t="shared" si="7"/>
        <v>744.6214069297996</v>
      </c>
      <c r="I99" s="8">
        <f>SUM(H99:$H$115)</f>
        <v>2610.3174775214757</v>
      </c>
      <c r="J99" s="10">
        <f>SUM(I99:$I$115)</f>
        <v>7270.098896933061</v>
      </c>
      <c r="K99" s="6">
        <v>94</v>
      </c>
      <c r="L99">
        <f t="shared" si="9"/>
        <v>0.26779420164672119</v>
      </c>
      <c r="M99">
        <f t="shared" si="8"/>
        <v>5.2556999999999958E-2</v>
      </c>
    </row>
    <row r="100" spans="2:13" ht="15.6" thickTop="1" thickBot="1" x14ac:dyDescent="0.35">
      <c r="B100" s="6">
        <v>95</v>
      </c>
      <c r="C100" s="7">
        <v>52557</v>
      </c>
      <c r="D100" s="8">
        <f t="shared" si="5"/>
        <v>2001.231531442402</v>
      </c>
      <c r="E100" s="8">
        <f>SUM(D100:$D$115)</f>
        <v>4948.8478627699405</v>
      </c>
      <c r="F100" s="8">
        <f>SUM(E100:$E$115)</f>
        <v>10898.035788974434</v>
      </c>
      <c r="G100" s="9">
        <f t="shared" si="6"/>
        <v>16535</v>
      </c>
      <c r="H100" s="8">
        <f t="shared" si="7"/>
        <v>618.87194290681623</v>
      </c>
      <c r="I100" s="8">
        <f>SUM(H100:$H$115)</f>
        <v>1865.6960705916758</v>
      </c>
      <c r="J100" s="10">
        <f>SUM(I100:$I$115)</f>
        <v>4659.7814194115854</v>
      </c>
      <c r="K100" s="6">
        <v>95</v>
      </c>
      <c r="L100">
        <f t="shared" si="9"/>
        <v>0.31461080350857162</v>
      </c>
      <c r="M100">
        <f t="shared" si="8"/>
        <v>3.6021999999999971E-2</v>
      </c>
    </row>
    <row r="101" spans="2:13" ht="15.6" thickTop="1" thickBot="1" x14ac:dyDescent="0.35">
      <c r="B101" s="6">
        <v>96</v>
      </c>
      <c r="C101" s="7">
        <v>36022</v>
      </c>
      <c r="D101" s="8">
        <f t="shared" si="5"/>
        <v>1325.239102732965</v>
      </c>
      <c r="E101" s="8">
        <f>SUM(D101:$D$115)</f>
        <v>2947.6163313275392</v>
      </c>
      <c r="F101" s="8">
        <f>SUM(E101:$E$115)</f>
        <v>5949.187926204494</v>
      </c>
      <c r="G101" s="9">
        <f t="shared" si="6"/>
        <v>13233</v>
      </c>
      <c r="H101" s="8">
        <f t="shared" si="7"/>
        <v>478.53593653549405</v>
      </c>
      <c r="I101" s="8">
        <f>SUM(H101:$H$115)</f>
        <v>1246.8241276848594</v>
      </c>
      <c r="J101" s="10">
        <f>SUM(I101:$I$115)</f>
        <v>2794.08534881991</v>
      </c>
      <c r="K101" s="6">
        <v>96</v>
      </c>
      <c r="L101">
        <f t="shared" si="9"/>
        <v>0.36735883626672589</v>
      </c>
      <c r="M101">
        <f t="shared" si="8"/>
        <v>2.2788999999999979E-2</v>
      </c>
    </row>
    <row r="102" spans="2:13" ht="15.6" thickTop="1" thickBot="1" x14ac:dyDescent="0.35">
      <c r="B102" s="6">
        <v>97</v>
      </c>
      <c r="C102" s="7">
        <v>22789</v>
      </c>
      <c r="D102" s="8">
        <f t="shared" si="5"/>
        <v>810.04909002688225</v>
      </c>
      <c r="E102" s="8">
        <f>SUM(D102:$D$115)</f>
        <v>1622.3772285945743</v>
      </c>
      <c r="F102" s="8">
        <f>SUM(E102:$E$115)</f>
        <v>3001.5715948769557</v>
      </c>
      <c r="G102" s="9">
        <f t="shared" si="6"/>
        <v>9706</v>
      </c>
      <c r="H102" s="8">
        <f t="shared" si="7"/>
        <v>339.12216969021654</v>
      </c>
      <c r="I102" s="8">
        <f>SUM(H102:$H$115)</f>
        <v>768.28819114936562</v>
      </c>
      <c r="J102" s="10">
        <f>SUM(I102:$I$115)</f>
        <v>1547.2612211350506</v>
      </c>
      <c r="K102" s="6">
        <v>97</v>
      </c>
      <c r="L102">
        <f t="shared" si="9"/>
        <v>0.42590723594716751</v>
      </c>
      <c r="M102">
        <f t="shared" si="8"/>
        <v>1.3082999999999989E-2</v>
      </c>
    </row>
    <row r="103" spans="2:13" ht="15.6" thickTop="1" thickBot="1" x14ac:dyDescent="0.35">
      <c r="B103" s="6">
        <v>98</v>
      </c>
      <c r="C103" s="7">
        <v>13083</v>
      </c>
      <c r="D103" s="8">
        <f t="shared" si="5"/>
        <v>449.31721846571457</v>
      </c>
      <c r="E103" s="8">
        <f>SUM(D103:$D$115)</f>
        <v>812.32813856769178</v>
      </c>
      <c r="F103" s="8">
        <f>SUM(E103:$E$115)</f>
        <v>1379.194366282381</v>
      </c>
      <c r="G103" s="9">
        <f t="shared" si="6"/>
        <v>6405</v>
      </c>
      <c r="H103" s="8">
        <f t="shared" si="7"/>
        <v>216.2194107599997</v>
      </c>
      <c r="I103" s="8">
        <f>SUM(H103:$H$115)</f>
        <v>429.16602145914896</v>
      </c>
      <c r="J103" s="10">
        <f>SUM(I103:$I$115)</f>
        <v>778.97302998568478</v>
      </c>
      <c r="K103" s="6">
        <v>98</v>
      </c>
      <c r="L103">
        <f t="shared" si="9"/>
        <v>0.4895666131621188</v>
      </c>
      <c r="M103">
        <f t="shared" si="8"/>
        <v>6.6779999999999938E-3</v>
      </c>
    </row>
    <row r="104" spans="2:13" ht="15.6" thickTop="1" thickBot="1" x14ac:dyDescent="0.35">
      <c r="B104" s="6">
        <v>99</v>
      </c>
      <c r="C104" s="7">
        <v>6678</v>
      </c>
      <c r="D104" s="8">
        <f t="shared" si="5"/>
        <v>221.59083051790424</v>
      </c>
      <c r="E104" s="8">
        <f>SUM(D104:$D$115)</f>
        <v>363.01092010197715</v>
      </c>
      <c r="F104" s="8">
        <f>SUM(E104:$E$115)</f>
        <v>566.86622771468922</v>
      </c>
      <c r="G104" s="9">
        <f t="shared" si="6"/>
        <v>3723</v>
      </c>
      <c r="H104" s="8">
        <f t="shared" si="7"/>
        <v>121.43062541861978</v>
      </c>
      <c r="I104" s="8">
        <f>SUM(H104:$H$115)</f>
        <v>212.94661069914926</v>
      </c>
      <c r="J104" s="10">
        <f>SUM(I104:$I$115)</f>
        <v>349.80700852653604</v>
      </c>
      <c r="K104" s="6">
        <v>99</v>
      </c>
      <c r="L104">
        <f t="shared" si="9"/>
        <v>0.55750224618149147</v>
      </c>
      <c r="M104">
        <f t="shared" si="8"/>
        <v>2.9549999999999971E-3</v>
      </c>
    </row>
    <row r="105" spans="2:13" ht="15.6" thickTop="1" thickBot="1" x14ac:dyDescent="0.35">
      <c r="B105" s="6">
        <v>100</v>
      </c>
      <c r="C105" s="7">
        <v>2955</v>
      </c>
      <c r="D105" s="8">
        <f t="shared" si="5"/>
        <v>94.737627798019744</v>
      </c>
      <c r="E105" s="8">
        <f>SUM(D105:$D$115)</f>
        <v>141.420089584073</v>
      </c>
      <c r="F105" s="8">
        <f>SUM(E105:$E$115)</f>
        <v>203.8553076127121</v>
      </c>
      <c r="G105" s="9">
        <f t="shared" si="6"/>
        <v>1855</v>
      </c>
      <c r="H105" s="8">
        <f t="shared" si="7"/>
        <v>58.457300979688803</v>
      </c>
      <c r="I105" s="8">
        <f>SUM(H105:$H$115)</f>
        <v>91.515985280529492</v>
      </c>
      <c r="J105" s="10">
        <f>SUM(I105:$I$115)</f>
        <v>136.86039782738672</v>
      </c>
      <c r="K105" s="6">
        <v>100</v>
      </c>
      <c r="L105">
        <f t="shared" si="9"/>
        <v>0.6277495769881557</v>
      </c>
      <c r="M105">
        <f t="shared" si="8"/>
        <v>1.0999999999999988E-3</v>
      </c>
    </row>
    <row r="106" spans="2:13" ht="15.6" thickTop="1" thickBot="1" x14ac:dyDescent="0.35">
      <c r="B106" s="6">
        <v>101</v>
      </c>
      <c r="C106" s="7">
        <v>1100</v>
      </c>
      <c r="D106" s="8">
        <f t="shared" si="5"/>
        <v>34.073547848262336</v>
      </c>
      <c r="E106" s="8">
        <f>SUM(D106:$D$115)</f>
        <v>46.682461786053224</v>
      </c>
      <c r="F106" s="8">
        <f>SUM(E106:$E$115)</f>
        <v>62.435218028639113</v>
      </c>
      <c r="G106" s="9">
        <f t="shared" si="6"/>
        <v>768</v>
      </c>
      <c r="H106" s="8">
        <f t="shared" si="7"/>
        <v>23.383833822884228</v>
      </c>
      <c r="I106" s="8">
        <f>SUM(H106:$H$115)</f>
        <v>33.058684300840667</v>
      </c>
      <c r="J106" s="10">
        <f>SUM(I106:$I$115)</f>
        <v>45.344412546857214</v>
      </c>
      <c r="K106" s="6">
        <v>101</v>
      </c>
      <c r="L106">
        <f t="shared" si="9"/>
        <v>0.69818181818181824</v>
      </c>
      <c r="M106">
        <f t="shared" si="8"/>
        <v>3.3199999999999956E-4</v>
      </c>
    </row>
    <row r="107" spans="2:13" ht="15.6" thickTop="1" thickBot="1" x14ac:dyDescent="0.35">
      <c r="B107" s="6">
        <v>102</v>
      </c>
      <c r="C107" s="7">
        <v>332</v>
      </c>
      <c r="D107" s="8">
        <f t="shared" si="5"/>
        <v>9.936247593871844</v>
      </c>
      <c r="E107" s="8">
        <f>SUM(D107:$D$115)</f>
        <v>12.608913937790886</v>
      </c>
      <c r="F107" s="8">
        <f>SUM(E107:$E$115)</f>
        <v>15.752756242585884</v>
      </c>
      <c r="G107" s="9">
        <f t="shared" si="6"/>
        <v>254</v>
      </c>
      <c r="H107" s="8">
        <f t="shared" si="7"/>
        <v>7.4721892499655205</v>
      </c>
      <c r="I107" s="8">
        <f>SUM(H107:$H$115)</f>
        <v>9.674850477956447</v>
      </c>
      <c r="J107" s="10">
        <f>SUM(I107:$I$115)</f>
        <v>12.285728246016552</v>
      </c>
      <c r="K107" s="6">
        <v>102</v>
      </c>
      <c r="L107">
        <f t="shared" si="9"/>
        <v>0.76506024096385539</v>
      </c>
      <c r="M107">
        <f t="shared" si="8"/>
        <v>7.7999999999999904E-5</v>
      </c>
    </row>
    <row r="108" spans="2:13" ht="15.6" thickTop="1" thickBot="1" x14ac:dyDescent="0.35">
      <c r="B108" s="6">
        <v>103</v>
      </c>
      <c r="C108" s="7">
        <v>78</v>
      </c>
      <c r="D108" s="8">
        <f t="shared" si="5"/>
        <v>2.2554778893021479</v>
      </c>
      <c r="E108" s="8">
        <f>SUM(D108:$D$115)</f>
        <v>2.672666343919043</v>
      </c>
      <c r="F108" s="8">
        <f>SUM(E108:$E$115)</f>
        <v>3.1438423047949993</v>
      </c>
      <c r="G108" s="9">
        <f t="shared" si="6"/>
        <v>65</v>
      </c>
      <c r="H108" s="8">
        <f t="shared" si="7"/>
        <v>1.8475115114601506</v>
      </c>
      <c r="I108" s="8">
        <f>SUM(H108:$H$115)</f>
        <v>2.2026612279909248</v>
      </c>
      <c r="J108" s="10">
        <f>SUM(I108:$I$115)</f>
        <v>2.6108777680601039</v>
      </c>
      <c r="K108" s="6">
        <v>103</v>
      </c>
      <c r="L108">
        <f t="shared" si="9"/>
        <v>0.83333333333333337</v>
      </c>
      <c r="M108">
        <f t="shared" si="8"/>
        <v>1.2999999999999981E-5</v>
      </c>
    </row>
    <row r="109" spans="2:13" ht="15.6" thickTop="1" thickBot="1" x14ac:dyDescent="0.35">
      <c r="B109" s="6">
        <v>104</v>
      </c>
      <c r="C109" s="7">
        <v>13</v>
      </c>
      <c r="D109" s="8">
        <f t="shared" si="5"/>
        <v>0.3632009483578339</v>
      </c>
      <c r="E109" s="8">
        <f>SUM(D109:$D$115)</f>
        <v>0.41718845461689502</v>
      </c>
      <c r="F109" s="8">
        <f>SUM(E109:$E$115)</f>
        <v>0.47117596087595615</v>
      </c>
      <c r="G109" s="9">
        <f t="shared" si="6"/>
        <v>11</v>
      </c>
      <c r="H109" s="8">
        <f t="shared" si="7"/>
        <v>0.30208289299236951</v>
      </c>
      <c r="I109" s="8">
        <f>SUM(H109:$H$115)</f>
        <v>0.35514971653077437</v>
      </c>
      <c r="J109" s="10">
        <f>SUM(I109:$I$115)</f>
        <v>0.40821654006917923</v>
      </c>
      <c r="K109" s="6">
        <v>104</v>
      </c>
      <c r="L109">
        <f t="shared" si="9"/>
        <v>0.84615384615384615</v>
      </c>
      <c r="M109">
        <f t="shared" si="8"/>
        <v>1.9999999999999969E-6</v>
      </c>
    </row>
    <row r="110" spans="2:13" ht="15.6" thickTop="1" thickBot="1" x14ac:dyDescent="0.35">
      <c r="B110" s="6">
        <v>105</v>
      </c>
      <c r="C110" s="7">
        <v>2</v>
      </c>
      <c r="D110" s="8">
        <f t="shared" si="5"/>
        <v>5.3987506259061152E-2</v>
      </c>
      <c r="E110" s="8">
        <f>SUM(D110:$D$115)</f>
        <v>5.3987506259061152E-2</v>
      </c>
      <c r="F110" s="8">
        <f>SUM(E110:$E$115)</f>
        <v>5.3987506259061152E-2</v>
      </c>
      <c r="G110" s="9">
        <f t="shared" si="6"/>
        <v>2</v>
      </c>
      <c r="H110" s="8">
        <f t="shared" si="7"/>
        <v>5.3066823538404841E-2</v>
      </c>
      <c r="I110" s="8">
        <f>SUM(H110:$H$115)</f>
        <v>5.3066823538404841E-2</v>
      </c>
      <c r="J110" s="10">
        <f>SUM(I110:$I$115)</f>
        <v>5.3066823538404841E-2</v>
      </c>
      <c r="K110" s="6">
        <v>105</v>
      </c>
      <c r="L110">
        <f t="shared" si="9"/>
        <v>1</v>
      </c>
      <c r="M110">
        <f t="shared" si="8"/>
        <v>0</v>
      </c>
    </row>
    <row r="111" spans="2:13" ht="15.6" thickTop="1" thickBot="1" x14ac:dyDescent="0.35">
      <c r="B111" s="6">
        <v>106</v>
      </c>
      <c r="C111" s="7">
        <v>0</v>
      </c>
      <c r="D111" s="8">
        <f t="shared" si="5"/>
        <v>0</v>
      </c>
      <c r="E111" s="8">
        <f>SUM(D111:$D$115)</f>
        <v>0</v>
      </c>
      <c r="F111" s="8">
        <f>SUM(E111:$E$115)</f>
        <v>0</v>
      </c>
      <c r="G111" s="9">
        <f t="shared" si="6"/>
        <v>0</v>
      </c>
      <c r="H111" s="8">
        <f t="shared" si="7"/>
        <v>0</v>
      </c>
      <c r="I111" s="8">
        <f>SUM(H111:$H$115)</f>
        <v>0</v>
      </c>
      <c r="J111" s="10">
        <f>SUM(I111:$I$115)</f>
        <v>0</v>
      </c>
      <c r="K111" s="6">
        <v>106</v>
      </c>
      <c r="L111" t="e">
        <f t="shared" si="9"/>
        <v>#DIV/0!</v>
      </c>
      <c r="M111" t="e">
        <f t="shared" si="8"/>
        <v>#DIV/0!</v>
      </c>
    </row>
    <row r="112" spans="2:13" ht="15.6" thickTop="1" thickBot="1" x14ac:dyDescent="0.35">
      <c r="B112" s="6">
        <v>107</v>
      </c>
      <c r="C112" s="7">
        <v>0</v>
      </c>
      <c r="D112" s="8">
        <f t="shared" si="5"/>
        <v>0</v>
      </c>
      <c r="E112" s="8">
        <f>SUM(D112:$D$115)</f>
        <v>0</v>
      </c>
      <c r="F112" s="8">
        <f>SUM(E112:$E$115)</f>
        <v>0</v>
      </c>
      <c r="G112" s="9">
        <f t="shared" si="6"/>
        <v>0</v>
      </c>
      <c r="H112" s="8">
        <f t="shared" si="7"/>
        <v>0</v>
      </c>
      <c r="I112" s="8">
        <f>SUM(H112:$H$115)</f>
        <v>0</v>
      </c>
      <c r="J112" s="10">
        <f>SUM(I112:$I$115)</f>
        <v>0</v>
      </c>
      <c r="K112" s="6">
        <v>107</v>
      </c>
      <c r="L112" t="e">
        <f t="shared" si="9"/>
        <v>#DIV/0!</v>
      </c>
      <c r="M112" t="e">
        <f t="shared" si="8"/>
        <v>#DIV/0!</v>
      </c>
    </row>
    <row r="113" spans="2:13" ht="15.6" thickTop="1" thickBot="1" x14ac:dyDescent="0.35">
      <c r="B113" s="6">
        <v>108</v>
      </c>
      <c r="C113" s="7">
        <v>0</v>
      </c>
      <c r="D113" s="8">
        <f t="shared" si="5"/>
        <v>0</v>
      </c>
      <c r="E113" s="8">
        <f>SUM(D113:$D$115)</f>
        <v>0</v>
      </c>
      <c r="F113" s="8">
        <f>SUM(E113:$E$115)</f>
        <v>0</v>
      </c>
      <c r="G113" s="9">
        <f t="shared" si="6"/>
        <v>0</v>
      </c>
      <c r="H113" s="8">
        <f t="shared" si="7"/>
        <v>0</v>
      </c>
      <c r="I113" s="8">
        <f>SUM(H113:$H$115)</f>
        <v>0</v>
      </c>
      <c r="J113" s="10">
        <f>SUM(I113:$I$115)</f>
        <v>0</v>
      </c>
      <c r="K113" s="6">
        <v>108</v>
      </c>
      <c r="L113" t="e">
        <f t="shared" si="9"/>
        <v>#DIV/0!</v>
      </c>
      <c r="M113" t="e">
        <f t="shared" si="8"/>
        <v>#DIV/0!</v>
      </c>
    </row>
    <row r="114" spans="2:13" ht="15.6" thickTop="1" thickBot="1" x14ac:dyDescent="0.35">
      <c r="B114" s="6">
        <v>109</v>
      </c>
      <c r="C114" s="7">
        <v>0</v>
      </c>
      <c r="D114" s="8">
        <f t="shared" si="5"/>
        <v>0</v>
      </c>
      <c r="E114" s="8">
        <f>SUM(D114:$D$115)</f>
        <v>0</v>
      </c>
      <c r="F114" s="8">
        <f>SUM(E114:$E$115)</f>
        <v>0</v>
      </c>
      <c r="G114" s="9">
        <f t="shared" si="6"/>
        <v>0</v>
      </c>
      <c r="H114" s="8">
        <f t="shared" si="7"/>
        <v>0</v>
      </c>
      <c r="I114" s="8">
        <f>SUM(H114:$H$115)</f>
        <v>0</v>
      </c>
      <c r="J114" s="10">
        <f>SUM(I114:$I$115)</f>
        <v>0</v>
      </c>
      <c r="K114" s="6">
        <v>109</v>
      </c>
      <c r="L114" t="e">
        <f t="shared" si="9"/>
        <v>#DIV/0!</v>
      </c>
      <c r="M114" t="e">
        <f t="shared" si="8"/>
        <v>#DIV/0!</v>
      </c>
    </row>
    <row r="115" spans="2:13" ht="15.6" thickTop="1" thickBot="1" x14ac:dyDescent="0.35">
      <c r="B115" s="13">
        <v>110</v>
      </c>
      <c r="C115" s="14">
        <v>0</v>
      </c>
      <c r="D115" s="15">
        <f t="shared" si="5"/>
        <v>0</v>
      </c>
      <c r="E115" s="15">
        <f>SUM(D115:$D$115)</f>
        <v>0</v>
      </c>
      <c r="F115" s="15">
        <f>SUM(E115:$E$115)</f>
        <v>0</v>
      </c>
      <c r="G115" s="16">
        <f t="shared" si="6"/>
        <v>0</v>
      </c>
      <c r="H115" s="15">
        <f t="shared" si="7"/>
        <v>0</v>
      </c>
      <c r="I115" s="15">
        <f>SUM(H115:$H$115)</f>
        <v>0</v>
      </c>
      <c r="J115" s="17">
        <f>SUM(I115:$I$115)</f>
        <v>0</v>
      </c>
      <c r="K115" s="13">
        <v>110</v>
      </c>
      <c r="L115" t="e">
        <f t="shared" si="9"/>
        <v>#DIV/0!</v>
      </c>
      <c r="M115" t="e">
        <f t="shared" si="8"/>
        <v>#DIV/0!</v>
      </c>
    </row>
  </sheetData>
  <sheetProtection selectLockedCells="1" selectUnlockedCells="1"/>
  <mergeCells count="1">
    <mergeCell ref="D2:I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93817-21F2-4D9F-9110-A5A5AC041EBB}">
  <sheetPr codeName="Feuil4"/>
  <dimension ref="A1:P55"/>
  <sheetViews>
    <sheetView workbookViewId="0">
      <selection activeCell="A3" sqref="A3"/>
    </sheetView>
  </sheetViews>
  <sheetFormatPr baseColWidth="10" defaultRowHeight="14.4" x14ac:dyDescent="0.3"/>
  <cols>
    <col min="1" max="1" width="4.21875" style="47" bestFit="1" customWidth="1"/>
    <col min="2" max="2" width="7.77734375" style="50" bestFit="1" customWidth="1"/>
    <col min="3" max="16" width="8.77734375" style="50" bestFit="1" customWidth="1"/>
    <col min="17" max="16384" width="11.5546875" style="48"/>
  </cols>
  <sheetData>
    <row r="1" spans="1:16" x14ac:dyDescent="0.3">
      <c r="A1" s="56" t="s">
        <v>60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</row>
    <row r="2" spans="1:16" x14ac:dyDescent="0.3">
      <c r="B2" s="56" t="s">
        <v>38</v>
      </c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</row>
    <row r="3" spans="1:16" s="47" customFormat="1" x14ac:dyDescent="0.3">
      <c r="A3" s="51" t="s">
        <v>55</v>
      </c>
      <c r="B3" s="51">
        <v>12</v>
      </c>
      <c r="C3" s="51">
        <v>24</v>
      </c>
      <c r="D3" s="51">
        <v>36</v>
      </c>
      <c r="E3" s="51">
        <v>48</v>
      </c>
      <c r="F3" s="51">
        <v>60</v>
      </c>
      <c r="G3" s="51">
        <v>72</v>
      </c>
      <c r="H3" s="51">
        <v>84</v>
      </c>
      <c r="I3" s="51">
        <v>96</v>
      </c>
      <c r="J3" s="51">
        <v>108</v>
      </c>
      <c r="K3" s="51">
        <v>120</v>
      </c>
      <c r="L3" s="51">
        <v>132</v>
      </c>
      <c r="M3" s="51">
        <v>144</v>
      </c>
      <c r="N3" s="51">
        <v>156</v>
      </c>
      <c r="O3" s="51">
        <v>168</v>
      </c>
      <c r="P3" s="51">
        <v>180</v>
      </c>
    </row>
    <row r="4" spans="1:16" x14ac:dyDescent="0.3">
      <c r="A4" s="51">
        <v>18</v>
      </c>
      <c r="B4" s="60">
        <v>55738.871347492444</v>
      </c>
      <c r="C4" s="60">
        <v>109254.03289595181</v>
      </c>
      <c r="D4" s="60">
        <v>160614.57467308053</v>
      </c>
      <c r="E4" s="60">
        <v>209891.34862119693</v>
      </c>
      <c r="F4" s="60">
        <v>257155.0061432111</v>
      </c>
      <c r="G4" s="60">
        <v>302475.14351305389</v>
      </c>
      <c r="H4" s="60">
        <v>345919.31681334402</v>
      </c>
      <c r="I4" s="60">
        <v>387552.47160513868</v>
      </c>
      <c r="J4" s="60">
        <v>427437.30528043094</v>
      </c>
      <c r="K4" s="60">
        <v>465633.78101182496</v>
      </c>
      <c r="L4" s="60">
        <v>502199.78165307792</v>
      </c>
      <c r="M4" s="60">
        <v>537191.36173283891</v>
      </c>
      <c r="N4" s="60">
        <v>570662.49913991254</v>
      </c>
      <c r="O4" s="60">
        <v>602665.59440943354</v>
      </c>
      <c r="P4" s="60">
        <v>633251.49950517889</v>
      </c>
    </row>
    <row r="5" spans="1:16" x14ac:dyDescent="0.3">
      <c r="A5" s="51">
        <v>19</v>
      </c>
      <c r="B5" s="60">
        <v>54312.350848094349</v>
      </c>
      <c r="C5" s="60">
        <v>106448.83522909046</v>
      </c>
      <c r="D5" s="60">
        <v>156481.00375598771</v>
      </c>
      <c r="E5" s="60">
        <v>204480.20452485894</v>
      </c>
      <c r="F5" s="60">
        <v>250516.72009817578</v>
      </c>
      <c r="G5" s="60">
        <v>294658.77272878058</v>
      </c>
      <c r="H5" s="60">
        <v>336971.94840561255</v>
      </c>
      <c r="I5" s="60">
        <v>377519.56277936243</v>
      </c>
      <c r="J5" s="60">
        <v>416362.17031920661</v>
      </c>
      <c r="K5" s="60">
        <v>453558.22466145986</v>
      </c>
      <c r="L5" s="60">
        <v>489164.33308822336</v>
      </c>
      <c r="M5" s="60">
        <v>523235.00576401822</v>
      </c>
      <c r="N5" s="60">
        <v>555823.1599454172</v>
      </c>
      <c r="O5" s="60">
        <v>586980.14904718148</v>
      </c>
      <c r="P5" s="60">
        <v>616754.55346624367</v>
      </c>
    </row>
    <row r="6" spans="1:16" x14ac:dyDescent="0.3">
      <c r="A6" s="51">
        <v>20</v>
      </c>
      <c r="B6" s="60">
        <v>52942.8436356604</v>
      </c>
      <c r="C6" s="60">
        <v>103759.47366651833</v>
      </c>
      <c r="D6" s="60">
        <v>152521.9806450691</v>
      </c>
      <c r="E6" s="60">
        <v>199301.37850214279</v>
      </c>
      <c r="F6" s="60">
        <v>244166.59941912341</v>
      </c>
      <c r="G6" s="60">
        <v>287183.91188022873</v>
      </c>
      <c r="H6" s="60">
        <v>328417.29040602967</v>
      </c>
      <c r="I6" s="60">
        <v>367927.91960241302</v>
      </c>
      <c r="J6" s="60">
        <v>405774.8613808977</v>
      </c>
      <c r="K6" s="60">
        <v>442015.31208541669</v>
      </c>
      <c r="L6" s="60">
        <v>476704.34911947791</v>
      </c>
      <c r="M6" s="60">
        <v>509895.44040265982</v>
      </c>
      <c r="N6" s="60">
        <v>541640.47373921215</v>
      </c>
      <c r="O6" s="60">
        <v>571988.53505921748</v>
      </c>
      <c r="P6" s="60">
        <v>600986.1460962533</v>
      </c>
    </row>
    <row r="7" spans="1:16" x14ac:dyDescent="0.3">
      <c r="A7" s="51">
        <v>21</v>
      </c>
      <c r="B7" s="60">
        <v>51613.197925918445</v>
      </c>
      <c r="C7" s="60">
        <v>101150.49662402079</v>
      </c>
      <c r="D7" s="60">
        <v>148683.66285823521</v>
      </c>
      <c r="E7" s="60">
        <v>194282.35957399514</v>
      </c>
      <c r="F7" s="60">
        <v>238013.55778117388</v>
      </c>
      <c r="G7" s="60">
        <v>279941.91020722262</v>
      </c>
      <c r="H7" s="60">
        <v>320129.25008845731</v>
      </c>
      <c r="I7" s="60">
        <v>358635.26546371164</v>
      </c>
      <c r="J7" s="60">
        <v>395517.75902697269</v>
      </c>
      <c r="K7" s="60">
        <v>430832.39206848491</v>
      </c>
      <c r="L7" s="60">
        <v>464633.1993320972</v>
      </c>
      <c r="M7" s="60">
        <v>496972.61869520677</v>
      </c>
      <c r="N7" s="60">
        <v>527900.25645780622</v>
      </c>
      <c r="O7" s="60">
        <v>557463.12753981585</v>
      </c>
      <c r="P7" s="60">
        <v>585705.46924576769</v>
      </c>
    </row>
    <row r="8" spans="1:16" x14ac:dyDescent="0.3">
      <c r="A8" s="51">
        <v>22</v>
      </c>
      <c r="B8" s="60">
        <v>50314.370934434948</v>
      </c>
      <c r="C8" s="60">
        <v>98603.356405947532</v>
      </c>
      <c r="D8" s="60">
        <v>144937.35810680492</v>
      </c>
      <c r="E8" s="60">
        <v>189384.05724684655</v>
      </c>
      <c r="F8" s="60">
        <v>232008.79216906015</v>
      </c>
      <c r="G8" s="60">
        <v>272874.05182575597</v>
      </c>
      <c r="H8" s="60">
        <v>312040.15722282691</v>
      </c>
      <c r="I8" s="60">
        <v>349565.52402801375</v>
      </c>
      <c r="J8" s="60">
        <v>385506.40379661054</v>
      </c>
      <c r="K8" s="60">
        <v>419917.40428866097</v>
      </c>
      <c r="L8" s="60">
        <v>452851.51946364681</v>
      </c>
      <c r="M8" s="60">
        <v>484358.88167593314</v>
      </c>
      <c r="N8" s="60">
        <v>514487.00441929471</v>
      </c>
      <c r="O8" s="60">
        <v>543280.59411665157</v>
      </c>
      <c r="P8" s="60">
        <v>570783.14177903195</v>
      </c>
    </row>
    <row r="9" spans="1:16" x14ac:dyDescent="0.3">
      <c r="A9" s="51">
        <v>23</v>
      </c>
      <c r="B9" s="60">
        <v>49041.001799882753</v>
      </c>
      <c r="C9" s="60">
        <v>96106.517323925553</v>
      </c>
      <c r="D9" s="60">
        <v>141264.93757525433</v>
      </c>
      <c r="E9" s="60">
        <v>184582.28611979113</v>
      </c>
      <c r="F9" s="60">
        <v>226121.70725036008</v>
      </c>
      <c r="G9" s="60">
        <v>265944.15457745892</v>
      </c>
      <c r="H9" s="60">
        <v>304108.6563915771</v>
      </c>
      <c r="I9" s="60">
        <v>340672.05417505611</v>
      </c>
      <c r="J9" s="60">
        <v>375689.52837601036</v>
      </c>
      <c r="K9" s="60">
        <v>409214.62871757796</v>
      </c>
      <c r="L9" s="60">
        <v>441298.01330726373</v>
      </c>
      <c r="M9" s="60">
        <v>471987.69392720039</v>
      </c>
      <c r="N9" s="60">
        <v>501328.84585006564</v>
      </c>
      <c r="O9" s="60">
        <v>529365.41619025439</v>
      </c>
      <c r="P9" s="60">
        <v>556139.23024567089</v>
      </c>
    </row>
    <row r="10" spans="1:16" x14ac:dyDescent="0.3">
      <c r="A10" s="51">
        <v>24</v>
      </c>
      <c r="B10" s="60">
        <v>47791.644262854781</v>
      </c>
      <c r="C10" s="60">
        <v>93656.475429119033</v>
      </c>
      <c r="D10" s="60">
        <v>137661.19969502871</v>
      </c>
      <c r="E10" s="60">
        <v>179869.61421436473</v>
      </c>
      <c r="F10" s="60">
        <v>220343.30280869713</v>
      </c>
      <c r="G10" s="60">
        <v>259141.90407333442</v>
      </c>
      <c r="H10" s="60">
        <v>296322.84718560841</v>
      </c>
      <c r="I10" s="60">
        <v>331941.88311487221</v>
      </c>
      <c r="J10" s="60">
        <v>366053.11524512433</v>
      </c>
      <c r="K10" s="60">
        <v>398707.72544776101</v>
      </c>
      <c r="L10" s="60">
        <v>429954.22190794104</v>
      </c>
      <c r="M10" s="60">
        <v>459838.24697415257</v>
      </c>
      <c r="N10" s="60">
        <v>488404.20213843696</v>
      </c>
      <c r="O10" s="60">
        <v>515694.34513847728</v>
      </c>
      <c r="P10" s="60">
        <v>541749.52047652914</v>
      </c>
    </row>
    <row r="11" spans="1:16" x14ac:dyDescent="0.3">
      <c r="A11" s="51">
        <v>25</v>
      </c>
      <c r="B11" s="60">
        <v>46567.107671571364</v>
      </c>
      <c r="C11" s="60">
        <v>91255.099872703038</v>
      </c>
      <c r="D11" s="60">
        <v>134128.42570501225</v>
      </c>
      <c r="E11" s="60">
        <v>175249.29831969956</v>
      </c>
      <c r="F11" s="60">
        <v>214677.96576329294</v>
      </c>
      <c r="G11" s="60">
        <v>252472.44408613775</v>
      </c>
      <c r="H11" s="60">
        <v>288689.05398086918</v>
      </c>
      <c r="I11" s="60">
        <v>323382.45171797118</v>
      </c>
      <c r="J11" s="60">
        <v>356604.34220017184</v>
      </c>
      <c r="K11" s="60">
        <v>388403.72932136431</v>
      </c>
      <c r="L11" s="60">
        <v>418826.72185257392</v>
      </c>
      <c r="M11" s="60">
        <v>447918.17502797546</v>
      </c>
      <c r="N11" s="60">
        <v>475720.77842020104</v>
      </c>
      <c r="O11" s="60">
        <v>502275.79392449779</v>
      </c>
      <c r="P11" s="60">
        <v>527622.577518826</v>
      </c>
    </row>
    <row r="12" spans="1:16" x14ac:dyDescent="0.3">
      <c r="A12" s="51">
        <v>26</v>
      </c>
      <c r="B12" s="60">
        <v>45367.207750071946</v>
      </c>
      <c r="C12" s="60">
        <v>88901.417143127343</v>
      </c>
      <c r="D12" s="60">
        <v>130665.46981545525</v>
      </c>
      <c r="E12" s="60">
        <v>170720.22244693714</v>
      </c>
      <c r="F12" s="60">
        <v>209124.27717336547</v>
      </c>
      <c r="G12" s="60">
        <v>245934.52364610543</v>
      </c>
      <c r="H12" s="60">
        <v>281206.17028016853</v>
      </c>
      <c r="I12" s="60">
        <v>314991.44430772209</v>
      </c>
      <c r="J12" s="60">
        <v>347339.84466616658</v>
      </c>
      <c r="K12" s="60">
        <v>378297.94592313934</v>
      </c>
      <c r="L12" s="60">
        <v>407911.05644603964</v>
      </c>
      <c r="M12" s="60">
        <v>436222.2970629388</v>
      </c>
      <c r="N12" s="60">
        <v>463273.34650194546</v>
      </c>
      <c r="O12" s="60">
        <v>489103.95832006686</v>
      </c>
      <c r="P12" s="60">
        <v>513751.86090554437</v>
      </c>
    </row>
    <row r="13" spans="1:16" x14ac:dyDescent="0.3">
      <c r="A13" s="51">
        <v>27</v>
      </c>
      <c r="B13" s="60">
        <v>44193.562908213564</v>
      </c>
      <c r="C13" s="60">
        <v>86599.192601546107</v>
      </c>
      <c r="D13" s="60">
        <v>127278.35690261102</v>
      </c>
      <c r="E13" s="60">
        <v>166290.24644906167</v>
      </c>
      <c r="F13" s="60">
        <v>203692.32219679406</v>
      </c>
      <c r="G13" s="60">
        <v>239540.34698182397</v>
      </c>
      <c r="H13" s="60">
        <v>273887.07251930732</v>
      </c>
      <c r="I13" s="60">
        <v>306782.49483120267</v>
      </c>
      <c r="J13" s="60">
        <v>338273.65620222565</v>
      </c>
      <c r="K13" s="60">
        <v>368406.3200012556</v>
      </c>
      <c r="L13" s="60">
        <v>397224.04008985701</v>
      </c>
      <c r="M13" s="60">
        <v>424768.91374759114</v>
      </c>
      <c r="N13" s="60">
        <v>451081.09374971793</v>
      </c>
      <c r="O13" s="60">
        <v>476198.68736532336</v>
      </c>
      <c r="P13" s="60">
        <v>500157.87694049103</v>
      </c>
    </row>
    <row r="14" spans="1:16" x14ac:dyDescent="0.3">
      <c r="A14" s="51">
        <v>28</v>
      </c>
      <c r="B14" s="60">
        <v>43045.856179489958</v>
      </c>
      <c r="C14" s="60">
        <v>84348.00367341064</v>
      </c>
      <c r="D14" s="60">
        <v>123966.22429345826</v>
      </c>
      <c r="E14" s="60">
        <v>161958.55289415445</v>
      </c>
      <c r="F14" s="60">
        <v>198381.30924995188</v>
      </c>
      <c r="G14" s="60">
        <v>233287.77194048959</v>
      </c>
      <c r="H14" s="60">
        <v>266728.43632937205</v>
      </c>
      <c r="I14" s="60">
        <v>298750.81454213319</v>
      </c>
      <c r="J14" s="60">
        <v>329401.12701513601</v>
      </c>
      <c r="K14" s="60">
        <v>358723.36260969209</v>
      </c>
      <c r="L14" s="60">
        <v>386760.03905731178</v>
      </c>
      <c r="M14" s="60">
        <v>413551.71016421868</v>
      </c>
      <c r="N14" s="60">
        <v>439136.86380070925</v>
      </c>
      <c r="O14" s="60">
        <v>463552.04368866351</v>
      </c>
      <c r="P14" s="60">
        <v>486831.43577526568</v>
      </c>
    </row>
    <row r="15" spans="1:16" x14ac:dyDescent="0.3">
      <c r="A15" s="51">
        <v>29</v>
      </c>
      <c r="B15" s="60">
        <v>41923.203819467308</v>
      </c>
      <c r="C15" s="60">
        <v>82145.775469370186</v>
      </c>
      <c r="D15" s="60">
        <v>120726.32553552854</v>
      </c>
      <c r="E15" s="60">
        <v>157721.73250934412</v>
      </c>
      <c r="F15" s="60">
        <v>193185.80351741402</v>
      </c>
      <c r="G15" s="60">
        <v>227169.53485957294</v>
      </c>
      <c r="H15" s="60">
        <v>259720.91000255046</v>
      </c>
      <c r="I15" s="60">
        <v>290886.60790977988</v>
      </c>
      <c r="J15" s="60">
        <v>320711.05383143685</v>
      </c>
      <c r="K15" s="60">
        <v>349237.18729364028</v>
      </c>
      <c r="L15" s="60">
        <v>376505.96441421955</v>
      </c>
      <c r="M15" s="60">
        <v>402556.25488008332</v>
      </c>
      <c r="N15" s="60">
        <v>427424.96494291525</v>
      </c>
      <c r="O15" s="60">
        <v>451146.6196895414</v>
      </c>
      <c r="P15" s="60">
        <v>473754.91479987616</v>
      </c>
    </row>
    <row r="16" spans="1:16" x14ac:dyDescent="0.3">
      <c r="A16" s="51">
        <v>30</v>
      </c>
      <c r="B16" s="60">
        <v>40825.692108275922</v>
      </c>
      <c r="C16" s="60">
        <v>79993.154515558199</v>
      </c>
      <c r="D16" s="60">
        <v>117559.82715121428</v>
      </c>
      <c r="E16" s="60">
        <v>153580.04826288461</v>
      </c>
      <c r="F16" s="60">
        <v>188105.31752625181</v>
      </c>
      <c r="G16" s="60">
        <v>221184.09204472741</v>
      </c>
      <c r="H16" s="60">
        <v>252863.51154189554</v>
      </c>
      <c r="I16" s="60">
        <v>283188.4397820601</v>
      </c>
      <c r="J16" s="60">
        <v>312202.2401401379</v>
      </c>
      <c r="K16" s="60">
        <v>339946.27300486818</v>
      </c>
      <c r="L16" s="60">
        <v>366459.79173926276</v>
      </c>
      <c r="M16" s="60">
        <v>391780.06689037202</v>
      </c>
      <c r="N16" s="60">
        <v>415941.96433631243</v>
      </c>
      <c r="O16" s="60">
        <v>438979.51236135495</v>
      </c>
      <c r="P16" s="60">
        <v>460925.35479604272</v>
      </c>
    </row>
    <row r="17" spans="1:16" x14ac:dyDescent="0.3">
      <c r="A17" s="51">
        <v>31</v>
      </c>
      <c r="B17" s="60">
        <v>39752.111727944073</v>
      </c>
      <c r="C17" s="60">
        <v>77887.751208559159</v>
      </c>
      <c r="D17" s="60">
        <v>114461.78902562597</v>
      </c>
      <c r="E17" s="60">
        <v>149526.22938229656</v>
      </c>
      <c r="F17" s="60">
        <v>183130.00410224887</v>
      </c>
      <c r="G17" s="60">
        <v>215320.71472334329</v>
      </c>
      <c r="H17" s="60">
        <v>246143.66452724327</v>
      </c>
      <c r="I17" s="60">
        <v>275642.64170734299</v>
      </c>
      <c r="J17" s="60">
        <v>303859.41184818133</v>
      </c>
      <c r="K17" s="60">
        <v>330833.61286664632</v>
      </c>
      <c r="L17" s="60">
        <v>356602.88043858844</v>
      </c>
      <c r="M17" s="60">
        <v>381202.42201307649</v>
      </c>
      <c r="N17" s="60">
        <v>404666.5992396677</v>
      </c>
      <c r="O17" s="60">
        <v>427028.3757510985</v>
      </c>
      <c r="P17" s="60">
        <v>448319.75791290868</v>
      </c>
    </row>
    <row r="18" spans="1:16" x14ac:dyDescent="0.3">
      <c r="A18" s="51">
        <v>32</v>
      </c>
      <c r="B18" s="60">
        <v>38701.396986563544</v>
      </c>
      <c r="C18" s="60">
        <v>75826.045443246621</v>
      </c>
      <c r="D18" s="60">
        <v>111426.45399166613</v>
      </c>
      <c r="E18" s="60">
        <v>145552.02907320182</v>
      </c>
      <c r="F18" s="60">
        <v>178250.83394021401</v>
      </c>
      <c r="G18" s="60">
        <v>209568.61129676667</v>
      </c>
      <c r="H18" s="60">
        <v>239549.57406294832</v>
      </c>
      <c r="I18" s="60">
        <v>268235.89293155359</v>
      </c>
      <c r="J18" s="60">
        <v>295667.59029026289</v>
      </c>
      <c r="K18" s="60">
        <v>321882.66686483967</v>
      </c>
      <c r="L18" s="60">
        <v>346916.67160150752</v>
      </c>
      <c r="M18" s="60">
        <v>370804.29944308597</v>
      </c>
      <c r="N18" s="60">
        <v>393578.83375540987</v>
      </c>
      <c r="O18" s="60">
        <v>415272.59135203698</v>
      </c>
      <c r="P18" s="60">
        <v>435916.90609278413</v>
      </c>
    </row>
    <row r="19" spans="1:16" x14ac:dyDescent="0.3">
      <c r="A19" s="51">
        <v>33</v>
      </c>
      <c r="B19" s="60">
        <v>37676.004066062298</v>
      </c>
      <c r="C19" s="60">
        <v>73812.97487134386</v>
      </c>
      <c r="D19" s="60">
        <v>108460.79836632268</v>
      </c>
      <c r="E19" s="60">
        <v>141668.00427627546</v>
      </c>
      <c r="F19" s="60">
        <v>173480.77925634154</v>
      </c>
      <c r="G19" s="60">
        <v>203943.76533052477</v>
      </c>
      <c r="H19" s="60">
        <v>233099.54247490992</v>
      </c>
      <c r="I19" s="60">
        <v>260988.52151031457</v>
      </c>
      <c r="J19" s="60">
        <v>287649.07197460911</v>
      </c>
      <c r="K19" s="60">
        <v>313117.08783063194</v>
      </c>
      <c r="L19" s="60">
        <v>337427.60074937559</v>
      </c>
      <c r="M19" s="60">
        <v>360614.21712493402</v>
      </c>
      <c r="N19" s="60">
        <v>382709.56741835061</v>
      </c>
      <c r="O19" s="60">
        <v>403745.28959697287</v>
      </c>
      <c r="P19" s="60">
        <v>423752.70828239119</v>
      </c>
    </row>
    <row r="20" spans="1:16" x14ac:dyDescent="0.3">
      <c r="A20" s="51">
        <v>34</v>
      </c>
      <c r="B20" s="60">
        <v>36677.743558749411</v>
      </c>
      <c r="C20" s="60">
        <v>71851.740565355634</v>
      </c>
      <c r="D20" s="60">
        <v>105570.99651884242</v>
      </c>
      <c r="E20" s="60">
        <v>137882.15087720047</v>
      </c>
      <c r="F20" s="60">
        <v>168830.28332409312</v>
      </c>
      <c r="G20" s="60">
        <v>198458.39127944293</v>
      </c>
      <c r="H20" s="60">
        <v>226807.2817420293</v>
      </c>
      <c r="I20" s="60">
        <v>253915.7004154376</v>
      </c>
      <c r="J20" s="60">
        <v>279819.89315827924</v>
      </c>
      <c r="K20" s="60">
        <v>304555.23508361838</v>
      </c>
      <c r="L20" s="60">
        <v>328155.66205454839</v>
      </c>
      <c r="M20" s="60">
        <v>350654.12443330005</v>
      </c>
      <c r="N20" s="60">
        <v>372082.57035823801</v>
      </c>
      <c r="O20" s="60">
        <v>392472.63155000441</v>
      </c>
      <c r="P20" s="60">
        <v>411855.84866547328</v>
      </c>
    </row>
    <row r="21" spans="1:16" x14ac:dyDescent="0.3">
      <c r="A21" s="51">
        <v>35</v>
      </c>
      <c r="B21" s="60">
        <v>35708.900569823527</v>
      </c>
      <c r="C21" s="60">
        <v>69948.475252046614</v>
      </c>
      <c r="D21" s="60">
        <v>102765.83109906349</v>
      </c>
      <c r="E21" s="60">
        <v>134206.49975107177</v>
      </c>
      <c r="F21" s="60">
        <v>164313.90970832377</v>
      </c>
      <c r="G21" s="60">
        <v>193129.27708936721</v>
      </c>
      <c r="H21" s="60">
        <v>220691.73605157621</v>
      </c>
      <c r="I21" s="60">
        <v>247037.89584459143</v>
      </c>
      <c r="J21" s="60">
        <v>272203.48624265019</v>
      </c>
      <c r="K21" s="60">
        <v>296222.78334049421</v>
      </c>
      <c r="L21" s="60">
        <v>319129.06785164122</v>
      </c>
      <c r="M21" s="60">
        <v>340954.60821772175</v>
      </c>
      <c r="N21" s="60">
        <v>361731.35329032596</v>
      </c>
      <c r="O21" s="60">
        <v>381491.15994429635</v>
      </c>
      <c r="P21" s="60">
        <v>400265.61226945336</v>
      </c>
    </row>
    <row r="22" spans="1:16" x14ac:dyDescent="0.3">
      <c r="A22" s="51">
        <v>36</v>
      </c>
      <c r="B22" s="60">
        <v>34767.82742786048</v>
      </c>
      <c r="C22" s="60">
        <v>68098.892546694799</v>
      </c>
      <c r="D22" s="60">
        <v>100039.19259889964</v>
      </c>
      <c r="E22" s="60">
        <v>130632.6001804183</v>
      </c>
      <c r="F22" s="60">
        <v>159920.75288188588</v>
      </c>
      <c r="G22" s="60">
        <v>187943.18504282791</v>
      </c>
      <c r="H22" s="60">
        <v>214736.88027557125</v>
      </c>
      <c r="I22" s="60">
        <v>240337.93372360829</v>
      </c>
      <c r="J22" s="60">
        <v>264780.97198574827</v>
      </c>
      <c r="K22" s="60">
        <v>288099.6161009029</v>
      </c>
      <c r="L22" s="60">
        <v>310326.46448470163</v>
      </c>
      <c r="M22" s="60">
        <v>331493.79269463604</v>
      </c>
      <c r="N22" s="60">
        <v>351633.78337090474</v>
      </c>
      <c r="O22" s="60">
        <v>370778.34357921046</v>
      </c>
      <c r="P22" s="60">
        <v>388958.84513826872</v>
      </c>
    </row>
    <row r="23" spans="1:16" x14ac:dyDescent="0.3">
      <c r="A23" s="51">
        <v>37</v>
      </c>
      <c r="B23" s="60">
        <v>33855.171961526576</v>
      </c>
      <c r="C23" s="60">
        <v>66304.97960648658</v>
      </c>
      <c r="D23" s="60">
        <v>97393.756073735291</v>
      </c>
      <c r="E23" s="60">
        <v>127163.57603534372</v>
      </c>
      <c r="F23" s="60">
        <v>155654.38883385819</v>
      </c>
      <c r="G23" s="60">
        <v>182903.56630892947</v>
      </c>
      <c r="H23" s="60">
        <v>208947.58250486784</v>
      </c>
      <c r="I23" s="60">
        <v>233821.42750557626</v>
      </c>
      <c r="J23" s="60">
        <v>257559.0752794166</v>
      </c>
      <c r="K23" s="60">
        <v>280193.46643670561</v>
      </c>
      <c r="L23" s="60">
        <v>301757.21534049045</v>
      </c>
      <c r="M23" s="60">
        <v>322282.84246114589</v>
      </c>
      <c r="N23" s="60">
        <v>341802.58980176877</v>
      </c>
      <c r="O23" s="60">
        <v>360348.15849983098</v>
      </c>
      <c r="P23" s="60">
        <v>377950.66212055809</v>
      </c>
    </row>
    <row r="24" spans="1:16" x14ac:dyDescent="0.3">
      <c r="A24" s="51">
        <v>38</v>
      </c>
      <c r="B24" s="60">
        <v>32969.970687372654</v>
      </c>
      <c r="C24" s="60">
        <v>64564.242769853387</v>
      </c>
      <c r="D24" s="60">
        <v>94825.344345708683</v>
      </c>
      <c r="E24" s="60">
        <v>123793.65527963762</v>
      </c>
      <c r="F24" s="60">
        <v>151506.95015646375</v>
      </c>
      <c r="G24" s="60">
        <v>178002.0960903973</v>
      </c>
      <c r="H24" s="60">
        <v>203314.46024304235</v>
      </c>
      <c r="I24" s="60">
        <v>227478.3827100877</v>
      </c>
      <c r="J24" s="60">
        <v>250527.15909298562</v>
      </c>
      <c r="K24" s="60">
        <v>272493.75523004896</v>
      </c>
      <c r="L24" s="60">
        <v>293411.0420550651</v>
      </c>
      <c r="M24" s="60">
        <v>313311.60903358483</v>
      </c>
      <c r="N24" s="60">
        <v>332227.49893678573</v>
      </c>
      <c r="O24" s="60">
        <v>350190.16063150892</v>
      </c>
      <c r="P24" s="60">
        <v>367229.75028780341</v>
      </c>
    </row>
    <row r="25" spans="1:16" x14ac:dyDescent="0.3">
      <c r="A25" s="51">
        <v>39</v>
      </c>
      <c r="B25" s="60">
        <v>32112.440784359773</v>
      </c>
      <c r="C25" s="60">
        <v>62876.889529335866</v>
      </c>
      <c r="D25" s="60">
        <v>92334.175023065502</v>
      </c>
      <c r="E25" s="60">
        <v>120522.49180959235</v>
      </c>
      <c r="F25" s="60">
        <v>147479.11687353588</v>
      </c>
      <c r="G25" s="60">
        <v>173239.81057117521</v>
      </c>
      <c r="H25" s="60">
        <v>197839.29477446165</v>
      </c>
      <c r="I25" s="60">
        <v>221311.23524893753</v>
      </c>
      <c r="J25" s="60">
        <v>243688.96433086196</v>
      </c>
      <c r="K25" s="60">
        <v>265005.71839686658</v>
      </c>
      <c r="L25" s="60">
        <v>285294.44922612107</v>
      </c>
      <c r="M25" s="60">
        <v>304587.55582554406</v>
      </c>
      <c r="N25" s="60">
        <v>322916.83669498097</v>
      </c>
      <c r="O25" s="60">
        <v>340312.78326591995</v>
      </c>
      <c r="P25" s="60">
        <v>356804.8509981042</v>
      </c>
    </row>
    <row r="26" spans="1:16" x14ac:dyDescent="0.3">
      <c r="A26" s="51">
        <v>40</v>
      </c>
      <c r="B26" s="60">
        <v>31283.070417110874</v>
      </c>
      <c r="C26" s="60">
        <v>61243.894009991993</v>
      </c>
      <c r="D26" s="60">
        <v>89921.106055848839</v>
      </c>
      <c r="E26" s="60">
        <v>117352.4136845926</v>
      </c>
      <c r="F26" s="60">
        <v>143573.98989716891</v>
      </c>
      <c r="G26" s="60">
        <v>168620.95722695306</v>
      </c>
      <c r="H26" s="60">
        <v>192527.36991432493</v>
      </c>
      <c r="I26" s="60">
        <v>215326.94492288539</v>
      </c>
      <c r="J26" s="60">
        <v>237053.30214931394</v>
      </c>
      <c r="K26" s="60">
        <v>257739.77360881094</v>
      </c>
      <c r="L26" s="60">
        <v>277419.13216579513</v>
      </c>
      <c r="M26" s="60">
        <v>296123.54324826173</v>
      </c>
      <c r="N26" s="60">
        <v>313883.85013337049</v>
      </c>
      <c r="O26" s="60">
        <v>330729.84817228711</v>
      </c>
      <c r="P26" s="60">
        <v>346690.45090989297</v>
      </c>
    </row>
    <row r="27" spans="1:16" x14ac:dyDescent="0.3">
      <c r="A27" s="51">
        <v>41</v>
      </c>
      <c r="B27" s="60">
        <v>30482.145052106935</v>
      </c>
      <c r="C27" s="60">
        <v>59665.223314084782</v>
      </c>
      <c r="D27" s="60">
        <v>87587.395926141588</v>
      </c>
      <c r="E27" s="60">
        <v>114285.27142793783</v>
      </c>
      <c r="F27" s="60">
        <v>139794.39524347559</v>
      </c>
      <c r="G27" s="60">
        <v>164149.23164104784</v>
      </c>
      <c r="H27" s="60">
        <v>187383.90355120899</v>
      </c>
      <c r="I27" s="60">
        <v>209532.43566886385</v>
      </c>
      <c r="J27" s="60">
        <v>230628.56134121958</v>
      </c>
      <c r="K27" s="60">
        <v>250705.44803228238</v>
      </c>
      <c r="L27" s="60">
        <v>269795.64845583524</v>
      </c>
      <c r="M27" s="60">
        <v>287930.37725555291</v>
      </c>
      <c r="N27" s="60">
        <v>305139.78853162937</v>
      </c>
      <c r="O27" s="60">
        <v>321453.14396064263</v>
      </c>
      <c r="P27" s="60">
        <v>336898.59339046583</v>
      </c>
    </row>
    <row r="28" spans="1:16" x14ac:dyDescent="0.3">
      <c r="A28" s="51">
        <v>42</v>
      </c>
      <c r="B28" s="60">
        <v>29710.81252824617</v>
      </c>
      <c r="C28" s="60">
        <v>58144.73850816692</v>
      </c>
      <c r="D28" s="60">
        <v>85338.850461286158</v>
      </c>
      <c r="E28" s="60">
        <v>111329.14431938957</v>
      </c>
      <c r="F28" s="60">
        <v>136150.5211558319</v>
      </c>
      <c r="G28" s="60">
        <v>159837.53638006572</v>
      </c>
      <c r="H28" s="60">
        <v>182424.64592084181</v>
      </c>
      <c r="I28" s="60">
        <v>203946.01066663064</v>
      </c>
      <c r="J28" s="60">
        <v>224435.21845061707</v>
      </c>
      <c r="K28" s="60">
        <v>243925.23456433089</v>
      </c>
      <c r="L28" s="60">
        <v>262447.66927030153</v>
      </c>
      <c r="M28" s="60">
        <v>280033.05884609843</v>
      </c>
      <c r="N28" s="60">
        <v>296711.03583497013</v>
      </c>
      <c r="O28" s="60">
        <v>312510.10685998481</v>
      </c>
      <c r="P28" s="60">
        <v>327458.09599385317</v>
      </c>
    </row>
    <row r="29" spans="1:16" x14ac:dyDescent="0.3">
      <c r="A29" s="51">
        <v>43</v>
      </c>
      <c r="B29" s="60">
        <v>28967.301794796826</v>
      </c>
      <c r="C29" s="60">
        <v>56678.302625288845</v>
      </c>
      <c r="D29" s="60">
        <v>83169.477093985712</v>
      </c>
      <c r="E29" s="60">
        <v>108476.19038563517</v>
      </c>
      <c r="F29" s="60">
        <v>132633.45742447505</v>
      </c>
      <c r="G29" s="60">
        <v>155676.19233115544</v>
      </c>
      <c r="H29" s="60">
        <v>177639.01026262675</v>
      </c>
      <c r="I29" s="60">
        <v>198555.94570011509</v>
      </c>
      <c r="J29" s="60">
        <v>218460.40230468742</v>
      </c>
      <c r="K29" s="60">
        <v>237384.4106893545</v>
      </c>
      <c r="L29" s="60">
        <v>255358.91320040985</v>
      </c>
      <c r="M29" s="60">
        <v>272413.9364320467</v>
      </c>
      <c r="N29" s="60">
        <v>288578.36608589051</v>
      </c>
      <c r="O29" s="60">
        <v>303880.39623671572</v>
      </c>
      <c r="P29" s="60">
        <v>318347.51642468432</v>
      </c>
    </row>
    <row r="30" spans="1:16" x14ac:dyDescent="0.3">
      <c r="A30" s="51">
        <v>44</v>
      </c>
      <c r="B30" s="60">
        <v>28251.00107800863</v>
      </c>
      <c r="C30" s="60">
        <v>55265.134146272176</v>
      </c>
      <c r="D30" s="60">
        <v>81078.258460700526</v>
      </c>
      <c r="E30" s="60">
        <v>105725.8781233608</v>
      </c>
      <c r="F30" s="60">
        <v>129243.39502445073</v>
      </c>
      <c r="G30" s="60">
        <v>151665.90791378025</v>
      </c>
      <c r="H30" s="60">
        <v>173027.92675307451</v>
      </c>
      <c r="I30" s="60">
        <v>193363.32187099344</v>
      </c>
      <c r="J30" s="60">
        <v>212704.57136590124</v>
      </c>
      <c r="K30" s="60">
        <v>231083.04986575758</v>
      </c>
      <c r="L30" s="60">
        <v>248529.20345285951</v>
      </c>
      <c r="M30" s="60">
        <v>265072.3213780371</v>
      </c>
      <c r="N30" s="60">
        <v>280740.99160285969</v>
      </c>
      <c r="O30" s="60">
        <v>295563.08771154773</v>
      </c>
      <c r="P30" s="60">
        <v>309562.50990652933</v>
      </c>
    </row>
    <row r="31" spans="1:16" x14ac:dyDescent="0.3">
      <c r="A31" s="51">
        <v>45</v>
      </c>
      <c r="B31" s="60">
        <v>27560.623583374414</v>
      </c>
      <c r="C31" s="60">
        <v>53902.63767040427</v>
      </c>
      <c r="D31" s="60">
        <v>79062.066674567017</v>
      </c>
      <c r="E31" s="60">
        <v>103074.8312995592</v>
      </c>
      <c r="F31" s="60">
        <v>125976.54466617753</v>
      </c>
      <c r="G31" s="60">
        <v>147802.22247846451</v>
      </c>
      <c r="H31" s="60">
        <v>168586.23143359658</v>
      </c>
      <c r="I31" s="60">
        <v>188361.52559536672</v>
      </c>
      <c r="J31" s="60">
        <v>207159.93938584207</v>
      </c>
      <c r="K31" s="60">
        <v>225012.36507362197</v>
      </c>
      <c r="L31" s="60">
        <v>241948.52114251308</v>
      </c>
      <c r="M31" s="60">
        <v>257997.41450969086</v>
      </c>
      <c r="N31" s="60">
        <v>273187.32724580576</v>
      </c>
      <c r="O31" s="60">
        <v>287542.50980994152</v>
      </c>
      <c r="P31" s="60">
        <v>301085.38227058831</v>
      </c>
    </row>
    <row r="32" spans="1:16" x14ac:dyDescent="0.3">
      <c r="A32" s="51">
        <v>46</v>
      </c>
      <c r="B32" s="60">
        <v>26895.040159849723</v>
      </c>
      <c r="C32" s="60">
        <v>52589.333700866147</v>
      </c>
      <c r="D32" s="60">
        <v>77119.352978514085</v>
      </c>
      <c r="E32" s="60">
        <v>100521.25804165791</v>
      </c>
      <c r="F32" s="60">
        <v>122830.60234758732</v>
      </c>
      <c r="G32" s="60">
        <v>144082.28037961089</v>
      </c>
      <c r="H32" s="60">
        <v>164309.7522931537</v>
      </c>
      <c r="I32" s="60">
        <v>183545.34140703111</v>
      </c>
      <c r="J32" s="60">
        <v>201820.41441748009</v>
      </c>
      <c r="K32" s="60">
        <v>219165.14620955935</v>
      </c>
      <c r="L32" s="60">
        <v>235608.98917382059</v>
      </c>
      <c r="M32" s="60">
        <v>251180.65972246908</v>
      </c>
      <c r="N32" s="60">
        <v>265904.78074071731</v>
      </c>
      <c r="O32" s="60">
        <v>279804.11661298375</v>
      </c>
      <c r="P32" s="60">
        <v>292897.97529333085</v>
      </c>
    </row>
    <row r="33" spans="1:16" x14ac:dyDescent="0.3">
      <c r="A33" s="51">
        <v>47</v>
      </c>
      <c r="B33" s="60">
        <v>26252.119795592247</v>
      </c>
      <c r="C33" s="60">
        <v>51321.322406434447</v>
      </c>
      <c r="D33" s="60">
        <v>75244.346893544163</v>
      </c>
      <c r="E33" s="60">
        <v>98057.316013327218</v>
      </c>
      <c r="F33" s="60">
        <v>119795.68299639893</v>
      </c>
      <c r="G33" s="60">
        <v>140493.44377834094</v>
      </c>
      <c r="H33" s="60">
        <v>160183.43925454852</v>
      </c>
      <c r="I33" s="60">
        <v>178897.53837993636</v>
      </c>
      <c r="J33" s="60">
        <v>196666.39921438511</v>
      </c>
      <c r="K33" s="60">
        <v>213519.94575433759</v>
      </c>
      <c r="L33" s="60">
        <v>229487.35423304976</v>
      </c>
      <c r="M33" s="60">
        <v>244593.64180925532</v>
      </c>
      <c r="N33" s="60">
        <v>258861.9373816817</v>
      </c>
      <c r="O33" s="60">
        <v>272311.85807267012</v>
      </c>
      <c r="P33" s="60">
        <v>284963.32441411854</v>
      </c>
    </row>
    <row r="34" spans="1:16" x14ac:dyDescent="0.3">
      <c r="A34" s="51">
        <v>48</v>
      </c>
      <c r="B34" s="60">
        <v>25629.521853461614</v>
      </c>
      <c r="C34" s="60">
        <v>50093.845207228776</v>
      </c>
      <c r="D34" s="60">
        <v>73429.692260667725</v>
      </c>
      <c r="E34" s="60">
        <v>95673.1045768365</v>
      </c>
      <c r="F34" s="60">
        <v>116858.64224052058</v>
      </c>
      <c r="G34" s="60">
        <v>137019.69112888066</v>
      </c>
      <c r="H34" s="60">
        <v>156188.64904962617</v>
      </c>
      <c r="I34" s="60">
        <v>174396.68282110474</v>
      </c>
      <c r="J34" s="60">
        <v>191674.21301673175</v>
      </c>
      <c r="K34" s="60">
        <v>208050.90003789912</v>
      </c>
      <c r="L34" s="60">
        <v>223552.17619326766</v>
      </c>
      <c r="M34" s="60">
        <v>238201.55419655883</v>
      </c>
      <c r="N34" s="60">
        <v>252018.97670855685</v>
      </c>
      <c r="O34" s="60">
        <v>265024.6948345658</v>
      </c>
      <c r="P34" s="60">
        <v>277236.22247348237</v>
      </c>
    </row>
    <row r="35" spans="1:16" x14ac:dyDescent="0.3">
      <c r="A35" s="51">
        <v>49</v>
      </c>
      <c r="B35" s="60">
        <v>25025.33216942591</v>
      </c>
      <c r="C35" s="60">
        <v>48902.870267322658</v>
      </c>
      <c r="D35" s="60">
        <v>71669.272832637565</v>
      </c>
      <c r="E35" s="60">
        <v>93359.691565425586</v>
      </c>
      <c r="F35" s="60">
        <v>114008.08385749617</v>
      </c>
      <c r="G35" s="60">
        <v>133647.40211698457</v>
      </c>
      <c r="H35" s="60">
        <v>152309.34669002771</v>
      </c>
      <c r="I35" s="60">
        <v>170024.85890327001</v>
      </c>
      <c r="J35" s="60">
        <v>186824.10689836115</v>
      </c>
      <c r="K35" s="60">
        <v>202732.95834580326</v>
      </c>
      <c r="L35" s="60">
        <v>217775.32846065841</v>
      </c>
      <c r="M35" s="60">
        <v>231971.50129125998</v>
      </c>
      <c r="N35" s="60">
        <v>245342.0746105545</v>
      </c>
      <c r="O35" s="60">
        <v>257904.86212833575</v>
      </c>
      <c r="P35" s="60">
        <v>269678.19712664955</v>
      </c>
    </row>
    <row r="36" spans="1:16" x14ac:dyDescent="0.3">
      <c r="A36" s="51">
        <v>50</v>
      </c>
      <c r="B36" s="60">
        <v>24438.147752474626</v>
      </c>
      <c r="C36" s="60">
        <v>47745.594476430204</v>
      </c>
      <c r="D36" s="60">
        <v>69958.110842717244</v>
      </c>
      <c r="E36" s="60">
        <v>91110.25218389323</v>
      </c>
      <c r="F36" s="60">
        <v>111235.55115252676</v>
      </c>
      <c r="G36" s="60">
        <v>130366.26629218023</v>
      </c>
      <c r="H36" s="60">
        <v>148533.88376168357</v>
      </c>
      <c r="I36" s="60">
        <v>165769.10292019832</v>
      </c>
      <c r="J36" s="60">
        <v>182098.24693063705</v>
      </c>
      <c r="K36" s="60">
        <v>197545.65212054495</v>
      </c>
      <c r="L36" s="60">
        <v>212131.95971112372</v>
      </c>
      <c r="M36" s="60">
        <v>225878.13017242664</v>
      </c>
      <c r="N36" s="60">
        <v>238802.29088801297</v>
      </c>
      <c r="O36" s="60">
        <v>250923.09796261316</v>
      </c>
      <c r="P36" s="60">
        <v>262259.78094774461</v>
      </c>
    </row>
    <row r="37" spans="1:16" x14ac:dyDescent="0.3">
      <c r="A37" s="51">
        <v>51</v>
      </c>
      <c r="B37" s="60">
        <v>23866.732406647461</v>
      </c>
      <c r="C37" s="60">
        <v>46618.749802722334</v>
      </c>
      <c r="D37" s="60">
        <v>68291.231912329764</v>
      </c>
      <c r="E37" s="60">
        <v>88918.317300448543</v>
      </c>
      <c r="F37" s="60">
        <v>108532.84740076112</v>
      </c>
      <c r="G37" s="60">
        <v>127166.87730574631</v>
      </c>
      <c r="H37" s="60">
        <v>144851.66109127545</v>
      </c>
      <c r="I37" s="60">
        <v>161613.99756205681</v>
      </c>
      <c r="J37" s="60">
        <v>177478.66278665667</v>
      </c>
      <c r="K37" s="60">
        <v>192466.6709592189</v>
      </c>
      <c r="L37" s="60">
        <v>206599.36129135027</v>
      </c>
      <c r="M37" s="60">
        <v>219895.18871620207</v>
      </c>
      <c r="N37" s="60">
        <v>232373.14644173128</v>
      </c>
      <c r="O37" s="60">
        <v>244052.81148447894</v>
      </c>
      <c r="P37" s="60">
        <v>254951.4532490382</v>
      </c>
    </row>
    <row r="38" spans="1:16" x14ac:dyDescent="0.3">
      <c r="A38" s="51">
        <v>52</v>
      </c>
      <c r="B38" s="60">
        <v>23310.915233909182</v>
      </c>
      <c r="C38" s="60">
        <v>45522.241463681596</v>
      </c>
      <c r="D38" s="60">
        <v>66668.751420823406</v>
      </c>
      <c r="E38" s="60">
        <v>86783.896609708667</v>
      </c>
      <c r="F38" s="60">
        <v>105900.32758623695</v>
      </c>
      <c r="G38" s="60">
        <v>124049.87900981528</v>
      </c>
      <c r="H38" s="60">
        <v>141259.84750645541</v>
      </c>
      <c r="I38" s="60">
        <v>157555.46939117435</v>
      </c>
      <c r="J38" s="60">
        <v>172958.14922304577</v>
      </c>
      <c r="K38" s="60">
        <v>187489.6226162122</v>
      </c>
      <c r="L38" s="60">
        <v>201168.68732728198</v>
      </c>
      <c r="M38" s="60">
        <v>214014.68938679676</v>
      </c>
      <c r="N38" s="60">
        <v>226047.56947885657</v>
      </c>
      <c r="O38" s="60">
        <v>237284.91780883662</v>
      </c>
      <c r="P38" s="60">
        <v>247745.26625236083</v>
      </c>
    </row>
    <row r="39" spans="1:16" x14ac:dyDescent="0.3">
      <c r="A39" s="51">
        <v>53</v>
      </c>
      <c r="B39" s="60">
        <v>22770.209286998386</v>
      </c>
      <c r="C39" s="60">
        <v>44455.25593302097</v>
      </c>
      <c r="D39" s="60">
        <v>65089.230629358128</v>
      </c>
      <c r="E39" s="60">
        <v>84705.40781440826</v>
      </c>
      <c r="F39" s="60">
        <v>103336.2304400351</v>
      </c>
      <c r="G39" s="60">
        <v>121009.51671256599</v>
      </c>
      <c r="H39" s="60">
        <v>137750.98515918365</v>
      </c>
      <c r="I39" s="60">
        <v>153582.44933444235</v>
      </c>
      <c r="J39" s="60">
        <v>168526.06017372172</v>
      </c>
      <c r="K39" s="60">
        <v>182600.97461867429</v>
      </c>
      <c r="L39" s="60">
        <v>195826.90836123168</v>
      </c>
      <c r="M39" s="60">
        <v>208224.18310944558</v>
      </c>
      <c r="N39" s="60">
        <v>219810.72518000592</v>
      </c>
      <c r="O39" s="60">
        <v>230605.42055316272</v>
      </c>
      <c r="P39" s="60">
        <v>240627.36631598391</v>
      </c>
    </row>
    <row r="40" spans="1:16" x14ac:dyDescent="0.3">
      <c r="A40" s="51">
        <v>54</v>
      </c>
      <c r="B40" s="60">
        <v>22243.968722386311</v>
      </c>
      <c r="C40" s="60">
        <v>43416.21036158449</v>
      </c>
      <c r="D40" s="60">
        <v>63550.653248400158</v>
      </c>
      <c r="E40" s="60">
        <v>82680.377887152121</v>
      </c>
      <c r="F40" s="60">
        <v>100833.74915346625</v>
      </c>
      <c r="G40" s="60">
        <v>118036.99098199302</v>
      </c>
      <c r="H40" s="60">
        <v>134312.34559621054</v>
      </c>
      <c r="I40" s="60">
        <v>149682.39923045909</v>
      </c>
      <c r="J40" s="60">
        <v>164166.68528890415</v>
      </c>
      <c r="K40" s="60">
        <v>177785.30690626771</v>
      </c>
      <c r="L40" s="60">
        <v>190558.98514251324</v>
      </c>
      <c r="M40" s="60">
        <v>202505.99859322543</v>
      </c>
      <c r="N40" s="60">
        <v>213645.60437637067</v>
      </c>
      <c r="O40" s="60">
        <v>223997.27486529789</v>
      </c>
      <c r="P40" s="60">
        <v>233583.8276959233</v>
      </c>
    </row>
    <row r="41" spans="1:16" x14ac:dyDescent="0.3">
      <c r="A41" s="51">
        <v>55</v>
      </c>
      <c r="B41" s="60">
        <v>21731.883780753211</v>
      </c>
      <c r="C41" s="60">
        <v>42404.968356276491</v>
      </c>
      <c r="D41" s="60">
        <v>62053.003633862514</v>
      </c>
      <c r="E41" s="60">
        <v>80704.928468660379</v>
      </c>
      <c r="F41" s="60">
        <v>98387.497451675503</v>
      </c>
      <c r="G41" s="60">
        <v>115123.40289053216</v>
      </c>
      <c r="H41" s="60">
        <v>130935.6880649739</v>
      </c>
      <c r="I41" s="60">
        <v>145844.28164880033</v>
      </c>
      <c r="J41" s="60">
        <v>159869.69357519192</v>
      </c>
      <c r="K41" s="60">
        <v>173033.06420664251</v>
      </c>
      <c r="L41" s="60">
        <v>185353.04201659956</v>
      </c>
      <c r="M41" s="60">
        <v>196849.27380185405</v>
      </c>
      <c r="N41" s="60">
        <v>207541.62597039531</v>
      </c>
      <c r="O41" s="60">
        <v>217453.3778860865</v>
      </c>
      <c r="P41" s="60">
        <v>226607.39764899481</v>
      </c>
    </row>
    <row r="42" spans="1:16" x14ac:dyDescent="0.3">
      <c r="A42" s="53">
        <v>56</v>
      </c>
      <c r="B42" s="60">
        <v>21233.152922054946</v>
      </c>
      <c r="C42" s="60">
        <v>41419.91731050759</v>
      </c>
      <c r="D42" s="60">
        <v>60589.834462800456</v>
      </c>
      <c r="E42" s="60">
        <v>78770.21594073411</v>
      </c>
      <c r="F42" s="60">
        <v>95984.226455066237</v>
      </c>
      <c r="G42" s="60">
        <v>112255.3889951289</v>
      </c>
      <c r="H42" s="60">
        <v>127604.04710517479</v>
      </c>
      <c r="I42" s="60">
        <v>142051.13768935885</v>
      </c>
      <c r="J42" s="60">
        <v>155618.24120527884</v>
      </c>
      <c r="K42" s="60">
        <v>168324.39434592501</v>
      </c>
      <c r="L42" s="60">
        <v>180189.65291049192</v>
      </c>
      <c r="M42" s="60">
        <v>191234.2968811871</v>
      </c>
      <c r="N42" s="60">
        <v>201482.09024620589</v>
      </c>
      <c r="O42" s="60">
        <v>210956.37716835464</v>
      </c>
      <c r="P42" s="61">
        <v>219680.25824769828</v>
      </c>
    </row>
    <row r="43" spans="1:16" x14ac:dyDescent="0.3">
      <c r="A43" s="53">
        <v>57</v>
      </c>
      <c r="B43" s="60">
        <v>20747.048597243214</v>
      </c>
      <c r="C43" s="60">
        <v>40455.487740376382</v>
      </c>
      <c r="D43" s="60">
        <v>59153.213503936451</v>
      </c>
      <c r="E43" s="60">
        <v>76863.886361924873</v>
      </c>
      <c r="F43" s="60">
        <v>93611.532734673499</v>
      </c>
      <c r="G43" s="60">
        <v>109416.93155203492</v>
      </c>
      <c r="H43" s="60">
        <v>124301.4678026503</v>
      </c>
      <c r="I43" s="60">
        <v>138287.18380171512</v>
      </c>
      <c r="J43" s="60">
        <v>151393.52365903422</v>
      </c>
      <c r="K43" s="60">
        <v>163640.97240118036</v>
      </c>
      <c r="L43" s="60">
        <v>175050.24403562778</v>
      </c>
      <c r="M43" s="60">
        <v>185645.61113934714</v>
      </c>
      <c r="N43" s="60">
        <v>195450.91747896018</v>
      </c>
      <c r="O43" s="62">
        <v>204489.75804570038</v>
      </c>
      <c r="P43" s="62">
        <v>212785.31830758066</v>
      </c>
    </row>
    <row r="44" spans="1:16" x14ac:dyDescent="0.3">
      <c r="A44" s="53">
        <v>58</v>
      </c>
      <c r="B44" s="60">
        <v>20276.569389095508</v>
      </c>
      <c r="C44" s="60">
        <v>39519.82433822297</v>
      </c>
      <c r="D44" s="60">
        <v>57753.954404913064</v>
      </c>
      <c r="E44" s="60">
        <v>75003.523276133215</v>
      </c>
      <c r="F44" s="60">
        <v>91289.774529635208</v>
      </c>
      <c r="G44" s="60">
        <v>106634.57135433904</v>
      </c>
      <c r="H44" s="60">
        <v>121060.44896452212</v>
      </c>
      <c r="I44" s="60">
        <v>134587.28626931907</v>
      </c>
      <c r="J44" s="60">
        <v>147236.0263710857</v>
      </c>
      <c r="K44" s="60">
        <v>159027.84647343415</v>
      </c>
      <c r="L44" s="60">
        <v>169987.56192440065</v>
      </c>
      <c r="M44" s="60">
        <v>180139.54967283286</v>
      </c>
      <c r="N44" s="60">
        <v>189507.93232920094</v>
      </c>
      <c r="O44" s="60">
        <v>198116.41382320403</v>
      </c>
      <c r="P44" s="60">
        <v>205988.49915349262</v>
      </c>
    </row>
    <row r="45" spans="1:16" x14ac:dyDescent="0.3">
      <c r="A45" s="53">
        <v>59</v>
      </c>
      <c r="B45" s="60">
        <v>19822.277077357478</v>
      </c>
      <c r="C45" s="60">
        <v>38611.720362857668</v>
      </c>
      <c r="D45" s="60">
        <v>56393.470655616831</v>
      </c>
      <c r="E45" s="60">
        <v>73189.270641147756</v>
      </c>
      <c r="F45" s="60">
        <v>89021.497173601354</v>
      </c>
      <c r="G45" s="60">
        <v>103913.21492140222</v>
      </c>
      <c r="H45" s="60">
        <v>117884.76983920558</v>
      </c>
      <c r="I45" s="60">
        <v>130957.59707760169</v>
      </c>
      <c r="J45" s="60">
        <v>143153.37138853478</v>
      </c>
      <c r="K45" s="60">
        <v>154497.49114484715</v>
      </c>
      <c r="L45" s="60">
        <v>165014.90602021187</v>
      </c>
      <c r="M45" s="60">
        <v>174730.30537436542</v>
      </c>
      <c r="N45" s="60">
        <v>183667.95004956724</v>
      </c>
      <c r="O45" s="60">
        <v>191851.89728323801</v>
      </c>
      <c r="P45" s="60">
        <v>199306.44061891761</v>
      </c>
    </row>
    <row r="46" spans="1:16" x14ac:dyDescent="0.3">
      <c r="A46" s="53">
        <v>60</v>
      </c>
      <c r="B46" s="60">
        <v>19386.438125563</v>
      </c>
      <c r="C46" s="60">
        <v>37739.979201369642</v>
      </c>
      <c r="D46" s="60">
        <v>55082.909733212597</v>
      </c>
      <c r="E46" s="60">
        <v>71438.166257121935</v>
      </c>
      <c r="F46" s="60">
        <v>86829.390326766326</v>
      </c>
      <c r="G46" s="60">
        <v>101277.43678254777</v>
      </c>
      <c r="H46" s="60">
        <v>114804.27690338282</v>
      </c>
      <c r="I46" s="60">
        <v>127432.12756236544</v>
      </c>
      <c r="J46" s="60">
        <v>139187.02238736281</v>
      </c>
      <c r="K46" s="60">
        <v>150094.53508436974</v>
      </c>
      <c r="L46" s="60">
        <v>160179.97253456508</v>
      </c>
      <c r="M46" s="60">
        <v>169468.20238372486</v>
      </c>
      <c r="N46" s="60">
        <v>177983.8835802947</v>
      </c>
      <c r="O46" s="60">
        <v>185751.91728924389</v>
      </c>
      <c r="P46" s="60">
        <v>192797.41839120793</v>
      </c>
    </row>
    <row r="47" spans="1:16" x14ac:dyDescent="0.3">
      <c r="A47" s="53">
        <v>61</v>
      </c>
      <c r="B47" s="60">
        <v>18967.496000053197</v>
      </c>
      <c r="C47" s="60">
        <v>36897.580924452443</v>
      </c>
      <c r="D47" s="60">
        <v>53813.799566646478</v>
      </c>
      <c r="E47" s="60">
        <v>69740.42043419047</v>
      </c>
      <c r="F47" s="60">
        <v>84698.85142010836</v>
      </c>
      <c r="G47" s="60">
        <v>98711.646462938093</v>
      </c>
      <c r="H47" s="60">
        <v>111801.61160834353</v>
      </c>
      <c r="I47" s="60">
        <v>123995.47087385076</v>
      </c>
      <c r="J47" s="60">
        <v>135319.47615837661</v>
      </c>
      <c r="K47" s="60">
        <v>145799.60546005511</v>
      </c>
      <c r="L47" s="60">
        <v>155461.38589346816</v>
      </c>
      <c r="M47" s="60">
        <v>164330.13034139178</v>
      </c>
      <c r="N47" s="60">
        <v>172431.40032650146</v>
      </c>
      <c r="O47" s="60">
        <v>179790.97675469692</v>
      </c>
      <c r="P47" s="60">
        <v>186434.6455881476</v>
      </c>
    </row>
    <row r="48" spans="1:16" x14ac:dyDescent="0.3">
      <c r="A48" s="53">
        <v>62</v>
      </c>
      <c r="B48" s="60">
        <v>18566.953946796861</v>
      </c>
      <c r="C48" s="60">
        <v>36091.268598663337</v>
      </c>
      <c r="D48" s="60">
        <v>52597.90119113477</v>
      </c>
      <c r="E48" s="60">
        <v>68108.867162420502</v>
      </c>
      <c r="F48" s="60">
        <v>82647.360520436385</v>
      </c>
      <c r="G48" s="60">
        <v>96236.834534897091</v>
      </c>
      <c r="H48" s="60">
        <v>108904.77163744091</v>
      </c>
      <c r="I48" s="60">
        <v>120678.16874260936</v>
      </c>
      <c r="J48" s="60">
        <v>131583.74109099535</v>
      </c>
      <c r="K48" s="60">
        <v>141647.74024379236</v>
      </c>
      <c r="L48" s="60">
        <v>150896.19745059757</v>
      </c>
      <c r="M48" s="60">
        <v>159355.39965718234</v>
      </c>
      <c r="N48" s="60">
        <v>167051.85941852719</v>
      </c>
      <c r="O48" s="60">
        <v>174012.0944893769</v>
      </c>
      <c r="P48" s="60">
        <v>180262.33798884845</v>
      </c>
    </row>
    <row r="49" spans="1:16" x14ac:dyDescent="0.3">
      <c r="A49" s="53">
        <v>63</v>
      </c>
      <c r="B49" s="60">
        <v>18183.29475773872</v>
      </c>
      <c r="C49" s="60">
        <v>35318.124413651458</v>
      </c>
      <c r="D49" s="60">
        <v>51427.170333151756</v>
      </c>
      <c r="E49" s="60">
        <v>66534.328100962462</v>
      </c>
      <c r="F49" s="60">
        <v>80663.760405806024</v>
      </c>
      <c r="G49" s="60">
        <v>93843.780973192333</v>
      </c>
      <c r="H49" s="60">
        <v>106102.20332552011</v>
      </c>
      <c r="I49" s="60">
        <v>117466.55079111179</v>
      </c>
      <c r="J49" s="60">
        <v>127963.86899342676</v>
      </c>
      <c r="K49" s="60">
        <v>137620.9765803006</v>
      </c>
      <c r="L49" s="60">
        <v>146464.95563009023</v>
      </c>
      <c r="M49" s="60">
        <v>154523.12065463231</v>
      </c>
      <c r="N49" s="60">
        <v>161822.79152281123</v>
      </c>
      <c r="O49" s="60">
        <v>168390.99485817042</v>
      </c>
      <c r="P49" s="60">
        <v>174254.40662103263</v>
      </c>
    </row>
    <row r="50" spans="1:16" x14ac:dyDescent="0.3">
      <c r="A50" s="53">
        <v>64</v>
      </c>
      <c r="B50" s="60">
        <v>17815.05475787718</v>
      </c>
      <c r="C50" s="60">
        <v>34571.377762780961</v>
      </c>
      <c r="D50" s="60">
        <v>50293.632121956973</v>
      </c>
      <c r="E50" s="60">
        <v>65006.756625989983</v>
      </c>
      <c r="F50" s="60">
        <v>78739.974432918287</v>
      </c>
      <c r="G50" s="60">
        <v>91521.992431221719</v>
      </c>
      <c r="H50" s="60">
        <v>103381.21799431436</v>
      </c>
      <c r="I50" s="60">
        <v>114345.56544694035</v>
      </c>
      <c r="J50" s="60">
        <v>124442.71484779773</v>
      </c>
      <c r="K50" s="60">
        <v>133700.61814745376</v>
      </c>
      <c r="L50" s="60">
        <v>142147.46719568339</v>
      </c>
      <c r="M50" s="60">
        <v>149811.4593713767</v>
      </c>
      <c r="N50" s="60">
        <v>156720.48938908742</v>
      </c>
      <c r="O50" s="60">
        <v>162902.0900368997</v>
      </c>
      <c r="P50" s="60">
        <v>168383.82126261463</v>
      </c>
    </row>
    <row r="51" spans="1:16" x14ac:dyDescent="0.3">
      <c r="A51" s="53">
        <v>65</v>
      </c>
      <c r="B51" s="60">
        <v>17463.399505278438</v>
      </c>
      <c r="C51" s="60">
        <v>33857.204906759573</v>
      </c>
      <c r="D51" s="60">
        <v>49207.211767896086</v>
      </c>
      <c r="E51" s="60">
        <v>63543.647209161281</v>
      </c>
      <c r="F51" s="60">
        <v>76896.204345014499</v>
      </c>
      <c r="G51" s="60">
        <v>89294.266485000655</v>
      </c>
      <c r="H51" s="60">
        <v>100766.70695129341</v>
      </c>
      <c r="I51" s="60">
        <v>111342.15675180363</v>
      </c>
      <c r="J51" s="60">
        <v>121049.52812716429</v>
      </c>
      <c r="K51" s="60">
        <v>129917.98145896036</v>
      </c>
      <c r="L51" s="60">
        <v>137976.68284784482</v>
      </c>
      <c r="M51" s="60">
        <v>145254.48533209242</v>
      </c>
      <c r="N51" s="60">
        <v>151779.86758951357</v>
      </c>
      <c r="O51" s="60">
        <v>157581.33639070924</v>
      </c>
      <c r="P51" s="60">
        <v>162687.05705343856</v>
      </c>
    </row>
    <row r="52" spans="1:16" x14ac:dyDescent="0.3">
      <c r="A52" s="53">
        <v>66</v>
      </c>
      <c r="B52" s="60">
        <v>17126.816518752737</v>
      </c>
      <c r="C52" s="60">
        <v>33171.634699504924</v>
      </c>
      <c r="D52" s="60">
        <v>48165.787881833632</v>
      </c>
      <c r="E52" s="60">
        <v>62140.05585633374</v>
      </c>
      <c r="F52" s="60">
        <v>75124.897270784233</v>
      </c>
      <c r="G52" s="60">
        <v>87150.242121632633</v>
      </c>
      <c r="H52" s="60">
        <v>98245.769223111187</v>
      </c>
      <c r="I52" s="60">
        <v>108441.4489144221</v>
      </c>
      <c r="J52" s="60">
        <v>117767.50875691054</v>
      </c>
      <c r="K52" s="60">
        <v>126254.18224029009</v>
      </c>
      <c r="L52" s="60">
        <v>133931.37833478133</v>
      </c>
      <c r="M52" s="60">
        <v>140828.6179497058</v>
      </c>
      <c r="N52" s="60">
        <v>146975.45111528455</v>
      </c>
      <c r="O52" s="60">
        <v>152401.07391277922</v>
      </c>
      <c r="P52" s="60">
        <v>157133.52915450512</v>
      </c>
    </row>
    <row r="53" spans="1:16" x14ac:dyDescent="0.3">
      <c r="A53" s="53">
        <v>67</v>
      </c>
      <c r="B53" s="60">
        <v>16804.485564319875</v>
      </c>
      <c r="C53" s="60">
        <v>32517.394118520431</v>
      </c>
      <c r="D53" s="60">
        <v>47170.70399236431</v>
      </c>
      <c r="E53" s="60">
        <v>60796.059867766999</v>
      </c>
      <c r="F53" s="60">
        <v>73424.557190074163</v>
      </c>
      <c r="G53" s="60">
        <v>85087.030441591938</v>
      </c>
      <c r="H53" s="60">
        <v>95814.616981333529</v>
      </c>
      <c r="I53" s="60">
        <v>105638.72140646924</v>
      </c>
      <c r="J53" s="60">
        <v>114590.75447338335</v>
      </c>
      <c r="K53" s="60">
        <v>122701.78978245101</v>
      </c>
      <c r="L53" s="60">
        <v>130002.49776238314</v>
      </c>
      <c r="M53" s="60">
        <v>136523.57909673351</v>
      </c>
      <c r="N53" s="60">
        <v>142295.36673762163</v>
      </c>
      <c r="O53" s="60">
        <v>147346.99546089742</v>
      </c>
      <c r="P53" s="60">
        <v>151706.43104598971</v>
      </c>
    </row>
    <row r="54" spans="1:16" x14ac:dyDescent="0.3">
      <c r="A54" s="53">
        <v>68</v>
      </c>
      <c r="B54" s="60">
        <v>16493.126478988946</v>
      </c>
      <c r="C54" s="60">
        <v>31883.235551670841</v>
      </c>
      <c r="D54" s="60">
        <v>46203.268590677537</v>
      </c>
      <c r="E54" s="60">
        <v>59485.595226236925</v>
      </c>
      <c r="F54" s="60">
        <v>71762.313432165582</v>
      </c>
      <c r="G54" s="60">
        <v>83065.836469837552</v>
      </c>
      <c r="H54" s="60">
        <v>93428.855789288631</v>
      </c>
      <c r="I54" s="60">
        <v>102884.06925215214</v>
      </c>
      <c r="J54" s="60">
        <v>111463.82374855339</v>
      </c>
      <c r="K54" s="60">
        <v>119200.04647635909</v>
      </c>
      <c r="L54" s="60">
        <v>126124.69612801862</v>
      </c>
      <c r="M54" s="60">
        <v>132269.34859617209</v>
      </c>
      <c r="N54" s="60">
        <v>137664.33250002892</v>
      </c>
      <c r="O54" s="60">
        <v>142338.75956090656</v>
      </c>
      <c r="P54" s="60">
        <v>146321.51403528624</v>
      </c>
    </row>
    <row r="55" spans="1:16" x14ac:dyDescent="0.3">
      <c r="A55" s="53">
        <v>69</v>
      </c>
      <c r="B55" s="60">
        <v>16192.391085816847</v>
      </c>
      <c r="C55" s="62">
        <v>31268.523719701574</v>
      </c>
      <c r="D55" s="62">
        <v>45262.164542706516</v>
      </c>
      <c r="E55" s="62">
        <v>58206.796815305752</v>
      </c>
      <c r="F55" s="62">
        <v>70136.232692733916</v>
      </c>
      <c r="G55" s="62">
        <v>81084.574524973592</v>
      </c>
      <c r="H55" s="62">
        <v>91085.9313503171</v>
      </c>
      <c r="I55" s="62">
        <v>100174.04608829519</v>
      </c>
      <c r="J55" s="62">
        <v>108382.22385307139</v>
      </c>
      <c r="K55" s="62">
        <v>115743.80261263737</v>
      </c>
      <c r="L55" s="62">
        <v>122291.72101427392</v>
      </c>
      <c r="M55" s="62">
        <v>128057.61660191479</v>
      </c>
      <c r="N55" s="62">
        <v>133071.85750263542</v>
      </c>
      <c r="O55" s="62">
        <v>137364.57456173119</v>
      </c>
      <c r="P55" s="62">
        <v>140967.3578837082</v>
      </c>
    </row>
  </sheetData>
  <mergeCells count="2">
    <mergeCell ref="A1:P1"/>
    <mergeCell ref="B2:P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012E1-4F5E-47D5-B3A1-40322C52F9FD}">
  <sheetPr codeName="Feuil5">
    <tabColor rgb="FF0070C0"/>
  </sheetPr>
  <dimension ref="A1:P55"/>
  <sheetViews>
    <sheetView tabSelected="1" topLeftCell="A16" workbookViewId="0">
      <selection activeCell="P42" sqref="P42"/>
    </sheetView>
  </sheetViews>
  <sheetFormatPr baseColWidth="10" defaultRowHeight="14.4" x14ac:dyDescent="0.3"/>
  <cols>
    <col min="1" max="1" width="4.21875" style="47" bestFit="1" customWidth="1"/>
    <col min="2" max="8" width="6.44140625" style="50" bestFit="1" customWidth="1"/>
    <col min="9" max="16" width="5.44140625" style="50" bestFit="1" customWidth="1"/>
    <col min="17" max="16384" width="11.5546875" style="48"/>
  </cols>
  <sheetData>
    <row r="1" spans="1:16" x14ac:dyDescent="0.3">
      <c r="A1" s="56" t="s">
        <v>64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</row>
    <row r="2" spans="1:16" x14ac:dyDescent="0.3">
      <c r="B2" s="56" t="s">
        <v>38</v>
      </c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</row>
    <row r="3" spans="1:16" s="47" customFormat="1" x14ac:dyDescent="0.3">
      <c r="A3" s="51" t="s">
        <v>55</v>
      </c>
      <c r="B3" s="51">
        <v>12</v>
      </c>
      <c r="C3" s="51">
        <v>24</v>
      </c>
      <c r="D3" s="51">
        <v>36</v>
      </c>
      <c r="E3" s="51">
        <v>48</v>
      </c>
      <c r="F3" s="51">
        <v>60</v>
      </c>
      <c r="G3" s="51">
        <v>72</v>
      </c>
      <c r="H3" s="51">
        <v>84</v>
      </c>
      <c r="I3" s="51">
        <v>96</v>
      </c>
      <c r="J3" s="51">
        <v>108</v>
      </c>
      <c r="K3" s="51">
        <v>120</v>
      </c>
      <c r="L3" s="51">
        <v>132</v>
      </c>
      <c r="M3" s="51">
        <v>144</v>
      </c>
      <c r="N3" s="51">
        <v>156</v>
      </c>
      <c r="O3" s="51">
        <v>168</v>
      </c>
      <c r="P3" s="51">
        <v>180</v>
      </c>
    </row>
    <row r="4" spans="1:16" x14ac:dyDescent="0.3">
      <c r="A4" s="51">
        <v>18</v>
      </c>
      <c r="B4" s="52">
        <v>17.940801021350204</v>
      </c>
      <c r="C4" s="52">
        <v>9.1529802012192167</v>
      </c>
      <c r="D4" s="52">
        <v>6.2260850364011393</v>
      </c>
      <c r="E4" s="52">
        <v>4.7643697873644033</v>
      </c>
      <c r="F4" s="52">
        <v>3.8887051626873408</v>
      </c>
      <c r="G4" s="52">
        <v>3.3060567833298449</v>
      </c>
      <c r="H4" s="52">
        <v>2.8908475225151822</v>
      </c>
      <c r="I4" s="52">
        <v>2.580295761908749</v>
      </c>
      <c r="J4" s="52">
        <v>2.3395243878957288</v>
      </c>
      <c r="K4" s="52">
        <v>2.1476105058936961</v>
      </c>
      <c r="L4" s="52">
        <v>1.9912394161310183</v>
      </c>
      <c r="M4" s="52">
        <v>1.8615340290920941</v>
      </c>
      <c r="N4" s="52">
        <v>1.7523492458452647</v>
      </c>
      <c r="O4" s="52">
        <v>1.6592949875957725</v>
      </c>
      <c r="P4" s="52">
        <v>1.5791514126399973</v>
      </c>
    </row>
    <row r="5" spans="1:16" x14ac:dyDescent="0.3">
      <c r="A5" s="51">
        <v>19</v>
      </c>
      <c r="B5" s="52">
        <v>18.412018341774406</v>
      </c>
      <c r="C5" s="52">
        <v>9.3941845192376405</v>
      </c>
      <c r="D5" s="52">
        <v>6.390552054224889</v>
      </c>
      <c r="E5" s="52">
        <v>4.8904489425939941</v>
      </c>
      <c r="F5" s="52">
        <v>3.9917495311614606</v>
      </c>
      <c r="G5" s="52">
        <v>3.3937560749988345</v>
      </c>
      <c r="H5" s="52">
        <v>2.9676060714594006</v>
      </c>
      <c r="I5" s="52">
        <v>2.6488693529888412</v>
      </c>
      <c r="J5" s="52">
        <v>2.4017551816327209</v>
      </c>
      <c r="K5" s="52">
        <v>2.2047885930112048</v>
      </c>
      <c r="L5" s="52">
        <v>2.0443027677155778</v>
      </c>
      <c r="M5" s="52">
        <v>1.9111871128343527</v>
      </c>
      <c r="N5" s="52">
        <v>1.7991333792175943</v>
      </c>
      <c r="O5" s="52">
        <v>1.7036351256908009</v>
      </c>
      <c r="P5" s="52">
        <v>1.6213905424449084</v>
      </c>
    </row>
    <row r="6" spans="1:16" x14ac:dyDescent="0.3">
      <c r="A6" s="51">
        <v>20</v>
      </c>
      <c r="B6" s="52">
        <v>18.888294079588047</v>
      </c>
      <c r="C6" s="52">
        <v>9.6376741772417631</v>
      </c>
      <c r="D6" s="52">
        <v>6.5564320353738417</v>
      </c>
      <c r="E6" s="52">
        <v>5.0175267603041114</v>
      </c>
      <c r="F6" s="52">
        <v>4.095564267917962</v>
      </c>
      <c r="G6" s="52">
        <v>3.4820892070620393</v>
      </c>
      <c r="H6" s="52">
        <v>3.0449066757833538</v>
      </c>
      <c r="I6" s="52">
        <v>2.7179236658109862</v>
      </c>
      <c r="J6" s="52">
        <v>2.4644207790420705</v>
      </c>
      <c r="K6" s="52">
        <v>2.2623650644183035</v>
      </c>
      <c r="L6" s="52">
        <v>2.0977362632564671</v>
      </c>
      <c r="M6" s="52">
        <v>1.9611863938424496</v>
      </c>
      <c r="N6" s="52">
        <v>1.8462431234071288</v>
      </c>
      <c r="O6" s="52">
        <v>1.7482867902176937</v>
      </c>
      <c r="P6" s="52">
        <v>1.6639318668085252</v>
      </c>
    </row>
    <row r="7" spans="1:16" x14ac:dyDescent="0.3">
      <c r="A7" s="51">
        <v>21</v>
      </c>
      <c r="B7" s="52">
        <v>19.374889372972429</v>
      </c>
      <c r="C7" s="52">
        <v>9.8862589248279011</v>
      </c>
      <c r="D7" s="52">
        <v>6.7256884904259167</v>
      </c>
      <c r="E7" s="52">
        <v>5.1471476988065703</v>
      </c>
      <c r="F7" s="52">
        <v>4.2014413352006832</v>
      </c>
      <c r="G7" s="52">
        <v>3.5721696664131701</v>
      </c>
      <c r="H7" s="52">
        <v>3.1237383017130811</v>
      </c>
      <c r="I7" s="52">
        <v>2.7883482086096874</v>
      </c>
      <c r="J7" s="52">
        <v>2.5283314773529657</v>
      </c>
      <c r="K7" s="52">
        <v>2.321088243153826</v>
      </c>
      <c r="L7" s="52">
        <v>2.1522353577778857</v>
      </c>
      <c r="M7" s="52">
        <v>2.0121832921610112</v>
      </c>
      <c r="N7" s="52">
        <v>1.894297242266878</v>
      </c>
      <c r="O7" s="52">
        <v>1.7938406158146782</v>
      </c>
      <c r="P7" s="52">
        <v>1.7073427729601589</v>
      </c>
    </row>
    <row r="8" spans="1:16" x14ac:dyDescent="0.3">
      <c r="A8" s="51">
        <v>22</v>
      </c>
      <c r="B8" s="52">
        <v>19.87503731892242</v>
      </c>
      <c r="C8" s="52">
        <v>10.141642601728741</v>
      </c>
      <c r="D8" s="52">
        <v>6.8995324122238788</v>
      </c>
      <c r="E8" s="52">
        <v>5.2802755128251491</v>
      </c>
      <c r="F8" s="52">
        <v>4.310181483429818</v>
      </c>
      <c r="G8" s="52">
        <v>3.6646943647047507</v>
      </c>
      <c r="H8" s="52">
        <v>3.2047157292191186</v>
      </c>
      <c r="I8" s="52">
        <v>2.8606940080276941</v>
      </c>
      <c r="J8" s="52">
        <v>2.5939906319366628</v>
      </c>
      <c r="K8" s="52">
        <v>2.3814207027069938</v>
      </c>
      <c r="L8" s="52">
        <v>2.2082293136266622</v>
      </c>
      <c r="M8" s="52">
        <v>2.0645848312719979</v>
      </c>
      <c r="N8" s="52">
        <v>1.9436836915418447</v>
      </c>
      <c r="O8" s="52">
        <v>1.840669464047308</v>
      </c>
      <c r="P8" s="52">
        <v>1.751978863431694</v>
      </c>
    </row>
    <row r="9" spans="1:16" x14ac:dyDescent="0.3">
      <c r="A9" s="51">
        <v>23</v>
      </c>
      <c r="B9" s="52">
        <v>20.391100574996631</v>
      </c>
      <c r="C9" s="52">
        <v>10.405121607200844</v>
      </c>
      <c r="D9" s="52">
        <v>7.0788974048658213</v>
      </c>
      <c r="E9" s="52">
        <v>5.4176379598582667</v>
      </c>
      <c r="F9" s="52">
        <v>4.42239717787381</v>
      </c>
      <c r="G9" s="52">
        <v>3.7601879296382128</v>
      </c>
      <c r="H9" s="52">
        <v>3.2882983729091149</v>
      </c>
      <c r="I9" s="52">
        <v>2.9353743218577741</v>
      </c>
      <c r="J9" s="52">
        <v>2.6617723531520583</v>
      </c>
      <c r="K9" s="52">
        <v>2.4437054049945908</v>
      </c>
      <c r="L9" s="52">
        <v>2.2660423791750159</v>
      </c>
      <c r="M9" s="52">
        <v>2.1186993069235411</v>
      </c>
      <c r="N9" s="52">
        <v>1.9946987058053187</v>
      </c>
      <c r="O9" s="52">
        <v>1.8890542702936968</v>
      </c>
      <c r="P9" s="52">
        <v>1.7981108787421032</v>
      </c>
    </row>
    <row r="10" spans="1:16" x14ac:dyDescent="0.3">
      <c r="A10" s="51">
        <v>24</v>
      </c>
      <c r="B10" s="52">
        <v>20.924159765250689</v>
      </c>
      <c r="C10" s="52">
        <v>10.677318310540297</v>
      </c>
      <c r="D10" s="52">
        <v>7.2642109920251752</v>
      </c>
      <c r="E10" s="52">
        <v>5.5595827253413779</v>
      </c>
      <c r="F10" s="52">
        <v>4.5383725634184744</v>
      </c>
      <c r="G10" s="52">
        <v>3.8588896055846318</v>
      </c>
      <c r="H10" s="52">
        <v>3.374697595874637</v>
      </c>
      <c r="I10" s="52">
        <v>3.0125755467077919</v>
      </c>
      <c r="J10" s="52">
        <v>2.7318439820689919</v>
      </c>
      <c r="K10" s="52">
        <v>2.5081028938603311</v>
      </c>
      <c r="L10" s="52">
        <v>2.3258290046843948</v>
      </c>
      <c r="M10" s="52">
        <v>2.1746777406625979</v>
      </c>
      <c r="N10" s="52">
        <v>2.0474844311772573</v>
      </c>
      <c r="O10" s="52">
        <v>1.9391331501443438</v>
      </c>
      <c r="P10" s="52">
        <v>1.8458715000253041</v>
      </c>
    </row>
    <row r="11" spans="1:16" x14ac:dyDescent="0.3">
      <c r="A11" s="51">
        <v>25</v>
      </c>
      <c r="B11" s="52">
        <v>21.47438503273175</v>
      </c>
      <c r="C11" s="52">
        <v>10.958291661451879</v>
      </c>
      <c r="D11" s="52">
        <v>7.4555411706635057</v>
      </c>
      <c r="E11" s="52">
        <v>5.706156940929624</v>
      </c>
      <c r="F11" s="52">
        <v>4.6581399094428475</v>
      </c>
      <c r="G11" s="52">
        <v>3.9608282940328459</v>
      </c>
      <c r="H11" s="52">
        <v>3.4639345905586985</v>
      </c>
      <c r="I11" s="52">
        <v>3.0923137439508364</v>
      </c>
      <c r="J11" s="52">
        <v>2.8042283328077713</v>
      </c>
      <c r="K11" s="52">
        <v>2.5746405724456944</v>
      </c>
      <c r="L11" s="52">
        <v>2.3876222500244331</v>
      </c>
      <c r="M11" s="52">
        <v>2.2325506214110273</v>
      </c>
      <c r="N11" s="52">
        <v>2.1020734123089033</v>
      </c>
      <c r="O11" s="52">
        <v>1.990938070470345</v>
      </c>
      <c r="P11" s="52">
        <v>1.8952941792266638</v>
      </c>
    </row>
    <row r="12" spans="1:16" x14ac:dyDescent="0.3">
      <c r="A12" s="51">
        <v>26</v>
      </c>
      <c r="B12" s="52">
        <v>22.042352826936199</v>
      </c>
      <c r="C12" s="52">
        <v>11.248414616271463</v>
      </c>
      <c r="D12" s="52">
        <v>7.6531313239247165</v>
      </c>
      <c r="E12" s="52">
        <v>5.8575368850097282</v>
      </c>
      <c r="F12" s="52">
        <v>4.7818455777422395</v>
      </c>
      <c r="G12" s="52">
        <v>4.0661229061072328</v>
      </c>
      <c r="H12" s="52">
        <v>3.5561097361544025</v>
      </c>
      <c r="I12" s="52">
        <v>3.1746894021130241</v>
      </c>
      <c r="J12" s="52">
        <v>2.8790247227786803</v>
      </c>
      <c r="K12" s="52">
        <v>2.643419058382027</v>
      </c>
      <c r="L12" s="52">
        <v>2.4515148197074788</v>
      </c>
      <c r="M12" s="52">
        <v>2.2924091838792893</v>
      </c>
      <c r="N12" s="52">
        <v>2.1585528447745488</v>
      </c>
      <c r="O12" s="52">
        <v>2.0445551155110584</v>
      </c>
      <c r="P12" s="52">
        <v>1.9464649689781943</v>
      </c>
    </row>
    <row r="13" spans="1:16" x14ac:dyDescent="0.3">
      <c r="A13" s="51">
        <v>27</v>
      </c>
      <c r="B13" s="52">
        <v>22.627729791257583</v>
      </c>
      <c r="C13" s="52">
        <v>11.547451771301462</v>
      </c>
      <c r="D13" s="52">
        <v>7.8567953290374835</v>
      </c>
      <c r="E13" s="52">
        <v>6.0135818026243761</v>
      </c>
      <c r="F13" s="52">
        <v>4.9093652093271638</v>
      </c>
      <c r="G13" s="52">
        <v>4.174662066745185</v>
      </c>
      <c r="H13" s="52">
        <v>3.6511398322003914</v>
      </c>
      <c r="I13" s="52">
        <v>3.2596383980455537</v>
      </c>
      <c r="J13" s="52">
        <v>2.956186453378987</v>
      </c>
      <c r="K13" s="52">
        <v>2.7143942590251755</v>
      </c>
      <c r="L13" s="52">
        <v>2.5174709964024022</v>
      </c>
      <c r="M13" s="52">
        <v>2.3542212427395901</v>
      </c>
      <c r="N13" s="52">
        <v>2.216896282855183</v>
      </c>
      <c r="O13" s="52">
        <v>2.0999637893433212</v>
      </c>
      <c r="P13" s="52">
        <v>1.9993686915761206</v>
      </c>
    </row>
    <row r="14" spans="1:16" x14ac:dyDescent="0.3">
      <c r="A14" s="51">
        <v>28</v>
      </c>
      <c r="B14" s="52">
        <v>23.231039843423297</v>
      </c>
      <c r="C14" s="52">
        <v>11.855645142141451</v>
      </c>
      <c r="D14" s="52">
        <v>8.0667133785792835</v>
      </c>
      <c r="E14" s="52">
        <v>6.1744192086819565</v>
      </c>
      <c r="F14" s="52">
        <v>5.0407974611158703</v>
      </c>
      <c r="G14" s="52">
        <v>4.2865512910599293</v>
      </c>
      <c r="H14" s="52">
        <v>3.7491315652791553</v>
      </c>
      <c r="I14" s="52">
        <v>3.3472712083901901</v>
      </c>
      <c r="J14" s="52">
        <v>3.035812321170503</v>
      </c>
      <c r="K14" s="52">
        <v>2.7876634315787423</v>
      </c>
      <c r="L14" s="52">
        <v>2.5855825292535348</v>
      </c>
      <c r="M14" s="52">
        <v>2.4180772934124892</v>
      </c>
      <c r="N14" s="52">
        <v>2.277194383876239</v>
      </c>
      <c r="O14" s="52">
        <v>2.1572550776448138</v>
      </c>
      <c r="P14" s="52">
        <v>2.0540990710830482</v>
      </c>
    </row>
    <row r="15" spans="1:16" x14ac:dyDescent="0.3">
      <c r="A15" s="51">
        <v>29</v>
      </c>
      <c r="B15" s="52">
        <v>23.853138808433428</v>
      </c>
      <c r="C15" s="52">
        <v>12.173480550717684</v>
      </c>
      <c r="D15" s="52">
        <v>8.2831975177254122</v>
      </c>
      <c r="E15" s="52">
        <v>6.3402803411429414</v>
      </c>
      <c r="F15" s="52">
        <v>5.1763637999924716</v>
      </c>
      <c r="G15" s="52">
        <v>4.4019987126273756</v>
      </c>
      <c r="H15" s="52">
        <v>3.8502868328552373</v>
      </c>
      <c r="I15" s="52">
        <v>3.4377656887874175</v>
      </c>
      <c r="J15" s="52">
        <v>3.1180715103308914</v>
      </c>
      <c r="K15" s="52">
        <v>2.8633835009076378</v>
      </c>
      <c r="L15" s="52">
        <v>2.6560004210181187</v>
      </c>
      <c r="M15" s="52">
        <v>2.4841248592644227</v>
      </c>
      <c r="N15" s="52">
        <v>2.3395919331327666</v>
      </c>
      <c r="O15" s="52">
        <v>2.2165742939360928</v>
      </c>
      <c r="P15" s="52">
        <v>2.1107960440313751</v>
      </c>
    </row>
    <row r="16" spans="1:16" x14ac:dyDescent="0.3">
      <c r="A16" s="51">
        <v>30</v>
      </c>
      <c r="B16" s="52">
        <v>24.494379601645168</v>
      </c>
      <c r="C16" s="52">
        <v>12.501069698476583</v>
      </c>
      <c r="D16" s="52">
        <v>8.5063071648933679</v>
      </c>
      <c r="E16" s="52">
        <v>6.5112624413835913</v>
      </c>
      <c r="F16" s="52">
        <v>5.3161708193626209</v>
      </c>
      <c r="G16" s="52">
        <v>4.5211208037410842</v>
      </c>
      <c r="H16" s="52">
        <v>3.954702653230834</v>
      </c>
      <c r="I16" s="52">
        <v>3.5312175905541658</v>
      </c>
      <c r="J16" s="52">
        <v>3.203051968977324</v>
      </c>
      <c r="K16" s="52">
        <v>2.9416413104363679</v>
      </c>
      <c r="L16" s="52">
        <v>2.728812335055582</v>
      </c>
      <c r="M16" s="52">
        <v>2.5524524714521029</v>
      </c>
      <c r="N16" s="52">
        <v>2.4041815583470285</v>
      </c>
      <c r="O16" s="52">
        <v>2.278010640225117</v>
      </c>
      <c r="P16" s="52">
        <v>2.1695486906822374</v>
      </c>
    </row>
    <row r="17" spans="1:16" x14ac:dyDescent="0.3">
      <c r="A17" s="51">
        <v>31</v>
      </c>
      <c r="B17" s="52">
        <v>25.155896291593535</v>
      </c>
      <c r="C17" s="52">
        <v>12.838989243922466</v>
      </c>
      <c r="D17" s="52">
        <v>8.7365400149050423</v>
      </c>
      <c r="E17" s="52">
        <v>6.6877898555395321</v>
      </c>
      <c r="F17" s="52">
        <v>5.4606016359922096</v>
      </c>
      <c r="G17" s="52">
        <v>4.6442350021216434</v>
      </c>
      <c r="H17" s="52">
        <v>4.0626680435616889</v>
      </c>
      <c r="I17" s="52">
        <v>3.6278857066742467</v>
      </c>
      <c r="J17" s="52">
        <v>3.2909956414305004</v>
      </c>
      <c r="K17" s="52">
        <v>3.0226674712254344</v>
      </c>
      <c r="L17" s="52">
        <v>2.8042398277044001</v>
      </c>
      <c r="M17" s="52">
        <v>2.6232781909389256</v>
      </c>
      <c r="N17" s="52">
        <v>2.471170098740322</v>
      </c>
      <c r="O17" s="52">
        <v>2.3417647556584598</v>
      </c>
      <c r="P17" s="52">
        <v>2.230550811892305</v>
      </c>
    </row>
    <row r="18" spans="1:16" x14ac:dyDescent="0.3">
      <c r="A18" s="51">
        <v>32</v>
      </c>
      <c r="B18" s="52">
        <v>25.838860554495817</v>
      </c>
      <c r="C18" s="52">
        <v>13.188080614707358</v>
      </c>
      <c r="D18" s="52">
        <v>8.9745295141025707</v>
      </c>
      <c r="E18" s="52">
        <v>6.8703954617978864</v>
      </c>
      <c r="F18" s="52">
        <v>5.6100719300724498</v>
      </c>
      <c r="G18" s="52">
        <v>4.7717069546446362</v>
      </c>
      <c r="H18" s="52">
        <v>4.174501265183725</v>
      </c>
      <c r="I18" s="52">
        <v>3.7280618528377638</v>
      </c>
      <c r="J18" s="52">
        <v>3.382176582216128</v>
      </c>
      <c r="K18" s="52">
        <v>3.1067221162918517</v>
      </c>
      <c r="L18" s="52">
        <v>2.8825365912326895</v>
      </c>
      <c r="M18" s="52">
        <v>2.6968403589222358</v>
      </c>
      <c r="N18" s="52">
        <v>2.5407870399388681</v>
      </c>
      <c r="O18" s="52">
        <v>2.4080568301996963</v>
      </c>
      <c r="P18" s="52">
        <v>2.2940151804691684</v>
      </c>
    </row>
    <row r="19" spans="1:16" x14ac:dyDescent="0.3">
      <c r="A19" s="51">
        <v>33</v>
      </c>
      <c r="B19" s="52">
        <v>26.542092899410669</v>
      </c>
      <c r="C19" s="52">
        <v>13.547753653649666</v>
      </c>
      <c r="D19" s="52">
        <v>9.2199210688320203</v>
      </c>
      <c r="E19" s="52">
        <v>7.0587568809809635</v>
      </c>
      <c r="F19" s="52">
        <v>5.7643273467336895</v>
      </c>
      <c r="G19" s="52">
        <v>4.9033124321272279</v>
      </c>
      <c r="H19" s="52">
        <v>4.2900127103751684</v>
      </c>
      <c r="I19" s="52">
        <v>3.8315861334172845</v>
      </c>
      <c r="J19" s="52">
        <v>3.4764582869513663</v>
      </c>
      <c r="K19" s="52">
        <v>3.1936934739917793</v>
      </c>
      <c r="L19" s="52">
        <v>2.9635987031859616</v>
      </c>
      <c r="M19" s="52">
        <v>2.7730465203859453</v>
      </c>
      <c r="N19" s="52">
        <v>2.6129474806331974</v>
      </c>
      <c r="O19" s="52">
        <v>2.4768090817807962</v>
      </c>
      <c r="P19" s="52">
        <v>2.3598669234547858</v>
      </c>
    </row>
    <row r="20" spans="1:16" x14ac:dyDescent="0.3">
      <c r="A20" s="51">
        <v>34</v>
      </c>
      <c r="B20" s="52">
        <v>27.264490750316398</v>
      </c>
      <c r="C20" s="52">
        <v>13.917547329147997</v>
      </c>
      <c r="D20" s="52">
        <v>9.4722985760726335</v>
      </c>
      <c r="E20" s="52">
        <v>7.2525703554669105</v>
      </c>
      <c r="F20" s="52">
        <v>5.92310798934313</v>
      </c>
      <c r="G20" s="52">
        <v>5.0388395953080751</v>
      </c>
      <c r="H20" s="52">
        <v>4.4090295175681371</v>
      </c>
      <c r="I20" s="52">
        <v>3.9383149539940852</v>
      </c>
      <c r="J20" s="52">
        <v>3.5737273312242777</v>
      </c>
      <c r="K20" s="52">
        <v>3.2834766400434425</v>
      </c>
      <c r="L20" s="52">
        <v>3.0473342856225738</v>
      </c>
      <c r="M20" s="52">
        <v>2.8518130269139785</v>
      </c>
      <c r="N20" s="52">
        <v>2.6875754998069601</v>
      </c>
      <c r="O20" s="52">
        <v>2.5479483653437662</v>
      </c>
      <c r="P20" s="52">
        <v>2.4280339911167368</v>
      </c>
    </row>
    <row r="21" spans="1:16" x14ac:dyDescent="0.3">
      <c r="A21" s="51">
        <v>35</v>
      </c>
      <c r="B21" s="52">
        <v>28.00422258995755</v>
      </c>
      <c r="C21" s="52">
        <v>14.296237286040647</v>
      </c>
      <c r="D21" s="52">
        <v>9.7308608250929929</v>
      </c>
      <c r="E21" s="52">
        <v>7.4512039420953151</v>
      </c>
      <c r="F21" s="52">
        <v>6.0859120312766954</v>
      </c>
      <c r="G21" s="52">
        <v>5.1778788543658631</v>
      </c>
      <c r="H21" s="52">
        <v>4.5312072753204387</v>
      </c>
      <c r="I21" s="52">
        <v>4.0479619395280473</v>
      </c>
      <c r="J21" s="52">
        <v>3.6737222355358474</v>
      </c>
      <c r="K21" s="52">
        <v>3.3758375663176006</v>
      </c>
      <c r="L21" s="52">
        <v>3.1335284082140915</v>
      </c>
      <c r="M21" s="52">
        <v>2.9329417344652371</v>
      </c>
      <c r="N21" s="52">
        <v>2.7644825114106122</v>
      </c>
      <c r="O21" s="52">
        <v>2.6212927191969939</v>
      </c>
      <c r="P21" s="52">
        <v>2.4983410249262521</v>
      </c>
    </row>
    <row r="22" spans="1:16" x14ac:dyDescent="0.3">
      <c r="A22" s="51">
        <v>36</v>
      </c>
      <c r="B22" s="52">
        <v>28.762222835893123</v>
      </c>
      <c r="C22" s="52">
        <v>14.684526614207552</v>
      </c>
      <c r="D22" s="52">
        <v>9.9960822755680603</v>
      </c>
      <c r="E22" s="52">
        <v>7.6550569966370388</v>
      </c>
      <c r="F22" s="52">
        <v>6.2530971245400471</v>
      </c>
      <c r="G22" s="52">
        <v>5.3207569073181524</v>
      </c>
      <c r="H22" s="52">
        <v>4.6568619173227388</v>
      </c>
      <c r="I22" s="52">
        <v>4.1608080110650079</v>
      </c>
      <c r="J22" s="52">
        <v>3.7767064321141048</v>
      </c>
      <c r="K22" s="52">
        <v>3.4710216331901109</v>
      </c>
      <c r="L22" s="52">
        <v>3.2224128923728896</v>
      </c>
      <c r="M22" s="52">
        <v>3.0166477383218311</v>
      </c>
      <c r="N22" s="52">
        <v>2.8438678172887499</v>
      </c>
      <c r="O22" s="52">
        <v>2.6970291477834571</v>
      </c>
      <c r="P22" s="52">
        <v>2.5709660867707376</v>
      </c>
    </row>
    <row r="23" spans="1:16" x14ac:dyDescent="0.3">
      <c r="A23" s="51">
        <v>37</v>
      </c>
      <c r="B23" s="52">
        <v>29.53758442392235</v>
      </c>
      <c r="C23" s="52">
        <v>15.081823506091096</v>
      </c>
      <c r="D23" s="52">
        <v>10.267598666622074</v>
      </c>
      <c r="E23" s="52">
        <v>7.8638870593106081</v>
      </c>
      <c r="F23" s="52">
        <v>6.4244895854968567</v>
      </c>
      <c r="G23" s="52">
        <v>5.4673619557038649</v>
      </c>
      <c r="H23" s="52">
        <v>4.7858893030107348</v>
      </c>
      <c r="I23" s="52">
        <v>4.2767680048320278</v>
      </c>
      <c r="J23" s="52">
        <v>3.8826044041163601</v>
      </c>
      <c r="K23" s="52">
        <v>3.5689625911598317</v>
      </c>
      <c r="L23" s="52">
        <v>3.3139224156467679</v>
      </c>
      <c r="M23" s="52">
        <v>3.1028645284477379</v>
      </c>
      <c r="N23" s="52">
        <v>2.9256653689486627</v>
      </c>
      <c r="O23" s="52">
        <v>2.7750939651339133</v>
      </c>
      <c r="P23" s="52">
        <v>2.6458479908179697</v>
      </c>
    </row>
    <row r="24" spans="1:16" x14ac:dyDescent="0.3">
      <c r="A24" s="51">
        <v>38</v>
      </c>
      <c r="B24" s="52">
        <v>30.330630545055214</v>
      </c>
      <c r="C24" s="52">
        <v>15.488449288635108</v>
      </c>
      <c r="D24" s="52">
        <v>10.545703861135042</v>
      </c>
      <c r="E24" s="52">
        <v>8.0779584199295087</v>
      </c>
      <c r="F24" s="52">
        <v>6.6003572705231228</v>
      </c>
      <c r="G24" s="52">
        <v>5.617911372752352</v>
      </c>
      <c r="H24" s="52">
        <v>4.9184893135716896</v>
      </c>
      <c r="I24" s="52">
        <v>4.3960221102611801</v>
      </c>
      <c r="J24" s="52">
        <v>3.9915832024776212</v>
      </c>
      <c r="K24" s="52">
        <v>3.6698088701363609</v>
      </c>
      <c r="L24" s="52">
        <v>3.4081880252220627</v>
      </c>
      <c r="M24" s="52">
        <v>3.1917106521667606</v>
      </c>
      <c r="N24" s="52">
        <v>3.0099856369513649</v>
      </c>
      <c r="O24" s="52">
        <v>2.8555913684058645</v>
      </c>
      <c r="P24" s="52">
        <v>2.7230909239142118</v>
      </c>
    </row>
    <row r="25" spans="1:16" x14ac:dyDescent="0.3">
      <c r="A25" s="51">
        <v>39</v>
      </c>
      <c r="B25" s="52">
        <v>31.140579027149052</v>
      </c>
      <c r="C25" s="52">
        <v>15.904094612273079</v>
      </c>
      <c r="D25" s="52">
        <v>10.830226183860912</v>
      </c>
      <c r="E25" s="52">
        <v>8.297206479765217</v>
      </c>
      <c r="F25" s="52">
        <v>6.7806210207883559</v>
      </c>
      <c r="G25" s="52">
        <v>5.7723452634990737</v>
      </c>
      <c r="H25" s="52">
        <v>5.0546075851109764</v>
      </c>
      <c r="I25" s="52">
        <v>4.5185234218912118</v>
      </c>
      <c r="J25" s="52">
        <v>4.1035916531791639</v>
      </c>
      <c r="K25" s="52">
        <v>3.7735034777718375</v>
      </c>
      <c r="L25" s="52">
        <v>3.5051505653634769</v>
      </c>
      <c r="M25" s="52">
        <v>3.2831282200273519</v>
      </c>
      <c r="N25" s="52">
        <v>3.0967725629759424</v>
      </c>
      <c r="O25" s="52">
        <v>2.9384732198514021</v>
      </c>
      <c r="P25" s="52">
        <v>2.8026524785261775</v>
      </c>
    </row>
    <row r="26" spans="1:16" x14ac:dyDescent="0.3">
      <c r="A26" s="51">
        <v>40</v>
      </c>
      <c r="B26" s="52">
        <v>31.966171691798859</v>
      </c>
      <c r="C26" s="52">
        <v>16.328158360355875</v>
      </c>
      <c r="D26" s="52">
        <v>11.120859649779142</v>
      </c>
      <c r="E26" s="52">
        <v>8.5213415608791347</v>
      </c>
      <c r="F26" s="52">
        <v>6.9650498723078176</v>
      </c>
      <c r="G26" s="52">
        <v>5.930460937035626</v>
      </c>
      <c r="H26" s="52">
        <v>5.1940666952704024</v>
      </c>
      <c r="I26" s="52">
        <v>4.6441006273419614</v>
      </c>
      <c r="J26" s="52">
        <v>4.2184605358086298</v>
      </c>
      <c r="K26" s="52">
        <v>3.8798823557506781</v>
      </c>
      <c r="L26" s="52">
        <v>3.6046540560957627</v>
      </c>
      <c r="M26" s="52">
        <v>3.376968913145916</v>
      </c>
      <c r="N26" s="52">
        <v>3.1858918500429247</v>
      </c>
      <c r="O26" s="52">
        <v>3.0236158167347202</v>
      </c>
      <c r="P26" s="52">
        <v>2.8844174893640382</v>
      </c>
    </row>
    <row r="27" spans="1:16" x14ac:dyDescent="0.3">
      <c r="A27" s="51">
        <v>41</v>
      </c>
      <c r="B27" s="52">
        <v>32.806090197739536</v>
      </c>
      <c r="C27" s="52">
        <v>16.760181969585229</v>
      </c>
      <c r="D27" s="52">
        <v>11.41716784048762</v>
      </c>
      <c r="E27" s="52">
        <v>8.7500339064298984</v>
      </c>
      <c r="F27" s="52">
        <v>7.153362609840908</v>
      </c>
      <c r="G27" s="52">
        <v>6.0920175501445106</v>
      </c>
      <c r="H27" s="52">
        <v>5.3366376783089926</v>
      </c>
      <c r="I27" s="52">
        <v>4.7725307865000799</v>
      </c>
      <c r="J27" s="52">
        <v>4.3359764037225208</v>
      </c>
      <c r="K27" s="52">
        <v>3.9887445919054532</v>
      </c>
      <c r="L27" s="52">
        <v>3.7065090031046113</v>
      </c>
      <c r="M27" s="52">
        <v>3.4730618197761376</v>
      </c>
      <c r="N27" s="52">
        <v>3.2771865144566186</v>
      </c>
      <c r="O27" s="52">
        <v>3.1108732914506381</v>
      </c>
      <c r="P27" s="52">
        <v>2.9682522266900624</v>
      </c>
    </row>
    <row r="28" spans="1:16" x14ac:dyDescent="0.3">
      <c r="A28" s="51">
        <v>42</v>
      </c>
      <c r="B28" s="52">
        <v>33.657780279462123</v>
      </c>
      <c r="C28" s="52">
        <v>17.198460697515074</v>
      </c>
      <c r="D28" s="52">
        <v>11.717992386757643</v>
      </c>
      <c r="E28" s="52">
        <v>8.9823738978099339</v>
      </c>
      <c r="F28" s="52">
        <v>7.3448121352061833</v>
      </c>
      <c r="G28" s="52">
        <v>6.2563526856556075</v>
      </c>
      <c r="H28" s="52">
        <v>5.4817154499722731</v>
      </c>
      <c r="I28" s="52">
        <v>4.9032584492892886</v>
      </c>
      <c r="J28" s="52">
        <v>4.4556286972404555</v>
      </c>
      <c r="K28" s="52">
        <v>4.099616842784128</v>
      </c>
      <c r="L28" s="52">
        <v>3.8102834091853741</v>
      </c>
      <c r="M28" s="52">
        <v>3.5710069522526742</v>
      </c>
      <c r="N28" s="52">
        <v>3.3702824607986508</v>
      </c>
      <c r="O28" s="52">
        <v>3.1998965091008533</v>
      </c>
      <c r="P28" s="52">
        <v>3.0538258550760378</v>
      </c>
    </row>
    <row r="29" spans="1:16" x14ac:dyDescent="0.3">
      <c r="A29" s="51">
        <v>43</v>
      </c>
      <c r="B29" s="52">
        <v>34.521682657361708</v>
      </c>
      <c r="C29" s="52">
        <v>17.643435912525334</v>
      </c>
      <c r="D29" s="52">
        <v>12.023641784713275</v>
      </c>
      <c r="E29" s="52">
        <v>9.2186128259572779</v>
      </c>
      <c r="F29" s="52">
        <v>7.5395757557585066</v>
      </c>
      <c r="G29" s="52">
        <v>6.4235897925406178</v>
      </c>
      <c r="H29" s="52">
        <v>5.6293941208159781</v>
      </c>
      <c r="I29" s="52">
        <v>5.0363639148350146</v>
      </c>
      <c r="J29" s="52">
        <v>4.5774885949596342</v>
      </c>
      <c r="K29" s="52">
        <v>4.2125765423940065</v>
      </c>
      <c r="L29" s="52">
        <v>3.916056766795462</v>
      </c>
      <c r="M29" s="52">
        <v>3.6708841445395319</v>
      </c>
      <c r="N29" s="52">
        <v>3.4652632266355221</v>
      </c>
      <c r="O29" s="52">
        <v>3.2907683825087006</v>
      </c>
      <c r="P29" s="52">
        <v>3.1412213018994395</v>
      </c>
    </row>
    <row r="30" spans="1:16" x14ac:dyDescent="0.3">
      <c r="A30" s="51">
        <v>44</v>
      </c>
      <c r="B30" s="52">
        <v>35.396975747469277</v>
      </c>
      <c r="C30" s="52">
        <v>18.094591019235828</v>
      </c>
      <c r="D30" s="52">
        <v>12.33376270020292</v>
      </c>
      <c r="E30" s="52">
        <v>9.4584222685121713</v>
      </c>
      <c r="F30" s="52">
        <v>7.7373393031869542</v>
      </c>
      <c r="G30" s="52">
        <v>6.5934395788438129</v>
      </c>
      <c r="H30" s="52">
        <v>5.7794138713057839</v>
      </c>
      <c r="I30" s="52">
        <v>5.1716116082613199</v>
      </c>
      <c r="J30" s="52">
        <v>4.7013564098712655</v>
      </c>
      <c r="K30" s="52">
        <v>4.3274485107450626</v>
      </c>
      <c r="L30" s="52">
        <v>4.0236720116059832</v>
      </c>
      <c r="M30" s="52">
        <v>3.7725553343377332</v>
      </c>
      <c r="N30" s="52">
        <v>3.562002094138836</v>
      </c>
      <c r="O30" s="52">
        <v>3.3833724222557224</v>
      </c>
      <c r="P30" s="52">
        <v>3.2303653317126293</v>
      </c>
    </row>
    <row r="31" spans="1:16" x14ac:dyDescent="0.3">
      <c r="A31" s="51">
        <v>45</v>
      </c>
      <c r="B31" s="52">
        <v>36.283649278648284</v>
      </c>
      <c r="C31" s="52">
        <v>18.551967829749803</v>
      </c>
      <c r="D31" s="52">
        <v>12.648290666574285</v>
      </c>
      <c r="E31" s="52">
        <v>9.7016894172134958</v>
      </c>
      <c r="F31" s="52">
        <v>7.9379856198618395</v>
      </c>
      <c r="G31" s="52">
        <v>6.7657981269240022</v>
      </c>
      <c r="H31" s="52">
        <v>5.9316825074999304</v>
      </c>
      <c r="I31" s="52">
        <v>5.3089397998834107</v>
      </c>
      <c r="J31" s="52">
        <v>4.8271881279974105</v>
      </c>
      <c r="K31" s="52">
        <v>4.4442002094987503</v>
      </c>
      <c r="L31" s="52">
        <v>4.133110610793846</v>
      </c>
      <c r="M31" s="52">
        <v>3.8760078348088962</v>
      </c>
      <c r="N31" s="52">
        <v>3.6604919052494331</v>
      </c>
      <c r="O31" s="52">
        <v>3.4777466492205806</v>
      </c>
      <c r="P31" s="52">
        <v>3.321317004693674</v>
      </c>
    </row>
    <row r="32" spans="1:16" x14ac:dyDescent="0.3">
      <c r="A32" s="51">
        <v>46</v>
      </c>
      <c r="B32" s="52">
        <v>37.181576753800528</v>
      </c>
      <c r="C32" s="52">
        <v>19.015262784809345</v>
      </c>
      <c r="D32" s="52">
        <v>12.966913769084734</v>
      </c>
      <c r="E32" s="52">
        <v>9.9481444968146064</v>
      </c>
      <c r="F32" s="52">
        <v>8.1412936262429909</v>
      </c>
      <c r="G32" s="52">
        <v>6.9404787137274537</v>
      </c>
      <c r="H32" s="52">
        <v>6.0860660188681139</v>
      </c>
      <c r="I32" s="52">
        <v>5.4482450621418641</v>
      </c>
      <c r="J32" s="52">
        <v>4.9549001417241554</v>
      </c>
      <c r="K32" s="52">
        <v>4.5627692965551603</v>
      </c>
      <c r="L32" s="52">
        <v>4.2443202337337373</v>
      </c>
      <c r="M32" s="52">
        <v>3.9811982383711619</v>
      </c>
      <c r="N32" s="52">
        <v>3.7607447192726324</v>
      </c>
      <c r="O32" s="52">
        <v>3.5739288331599806</v>
      </c>
      <c r="P32" s="52">
        <v>3.4141581176808136</v>
      </c>
    </row>
    <row r="33" spans="1:16" x14ac:dyDescent="0.3">
      <c r="A33" s="51">
        <v>47</v>
      </c>
      <c r="B33" s="52">
        <v>38.092161996300995</v>
      </c>
      <c r="C33" s="52">
        <v>19.485078581580435</v>
      </c>
      <c r="D33" s="52">
        <v>13.290034949931879</v>
      </c>
      <c r="E33" s="52">
        <v>10.198117189584178</v>
      </c>
      <c r="F33" s="52">
        <v>8.3475462135815057</v>
      </c>
      <c r="G33" s="52">
        <v>7.1177698624693004</v>
      </c>
      <c r="H33" s="52">
        <v>6.2428426100334491</v>
      </c>
      <c r="I33" s="52">
        <v>5.5897918387017427</v>
      </c>
      <c r="J33" s="52">
        <v>5.0847526776035838</v>
      </c>
      <c r="K33" s="52">
        <v>4.6834032130681411</v>
      </c>
      <c r="L33" s="52">
        <v>4.3575385813393304</v>
      </c>
      <c r="M33" s="52">
        <v>4.088413715920888</v>
      </c>
      <c r="N33" s="52">
        <v>3.8630631065916026</v>
      </c>
      <c r="O33" s="52">
        <v>3.6722602059185263</v>
      </c>
      <c r="P33" s="52">
        <v>3.5092235186966216</v>
      </c>
    </row>
    <row r="34" spans="1:16" x14ac:dyDescent="0.3">
      <c r="A34" s="51">
        <v>48</v>
      </c>
      <c r="B34" s="52">
        <v>39.017505114514513</v>
      </c>
      <c r="C34" s="52">
        <v>19.962532240501577</v>
      </c>
      <c r="D34" s="52">
        <v>13.618469167078963</v>
      </c>
      <c r="E34" s="52">
        <v>10.452258285366764</v>
      </c>
      <c r="F34" s="52">
        <v>8.5573474141671273</v>
      </c>
      <c r="G34" s="52">
        <v>7.298221093341982</v>
      </c>
      <c r="H34" s="52">
        <v>6.4025139220089411</v>
      </c>
      <c r="I34" s="52">
        <v>5.7340540188244011</v>
      </c>
      <c r="J34" s="52">
        <v>5.2171858919421128</v>
      </c>
      <c r="K34" s="52">
        <v>4.8065160968678207</v>
      </c>
      <c r="L34" s="52">
        <v>4.4732286530526526</v>
      </c>
      <c r="M34" s="52">
        <v>4.1981254210240024</v>
      </c>
      <c r="N34" s="52">
        <v>3.9679551637749615</v>
      </c>
      <c r="O34" s="52">
        <v>3.7732332853895816</v>
      </c>
      <c r="P34" s="52">
        <v>3.6070322668447474</v>
      </c>
    </row>
    <row r="35" spans="1:16" x14ac:dyDescent="0.3">
      <c r="A35" s="51">
        <v>49</v>
      </c>
      <c r="B35" s="52">
        <v>39.959509557348682</v>
      </c>
      <c r="C35" s="52">
        <v>20.448697479996572</v>
      </c>
      <c r="D35" s="52">
        <v>13.952980970453057</v>
      </c>
      <c r="E35" s="52">
        <v>10.711260751104877</v>
      </c>
      <c r="F35" s="52">
        <v>8.7713078420820167</v>
      </c>
      <c r="G35" s="52">
        <v>7.482375146541778</v>
      </c>
      <c r="H35" s="52">
        <v>6.5655852495720399</v>
      </c>
      <c r="I35" s="52">
        <v>5.8814928972763747</v>
      </c>
      <c r="J35" s="52">
        <v>5.3526282908663134</v>
      </c>
      <c r="K35" s="52">
        <v>4.9325970881078556</v>
      </c>
      <c r="L35" s="52">
        <v>4.5918883790394665</v>
      </c>
      <c r="M35" s="52">
        <v>4.3108743722118472</v>
      </c>
      <c r="N35" s="52">
        <v>4.0759417298779965</v>
      </c>
      <c r="O35" s="52">
        <v>3.8773987886369943</v>
      </c>
      <c r="P35" s="52">
        <v>3.7081232767599972</v>
      </c>
    </row>
    <row r="36" spans="1:16" x14ac:dyDescent="0.3">
      <c r="A36" s="51">
        <v>50</v>
      </c>
      <c r="B36" s="52">
        <v>40.919631476519697</v>
      </c>
      <c r="C36" s="52">
        <v>20.94434074946232</v>
      </c>
      <c r="D36" s="52">
        <v>14.294268212133998</v>
      </c>
      <c r="E36" s="52">
        <v>10.975713226889557</v>
      </c>
      <c r="F36" s="52">
        <v>8.989931632817596</v>
      </c>
      <c r="G36" s="52">
        <v>7.6706960200791086</v>
      </c>
      <c r="H36" s="52">
        <v>6.7324705627738002</v>
      </c>
      <c r="I36" s="52">
        <v>6.0324872511459668</v>
      </c>
      <c r="J36" s="52">
        <v>5.4915410601449093</v>
      </c>
      <c r="K36" s="52">
        <v>5.0621210300785915</v>
      </c>
      <c r="L36" s="52">
        <v>4.714046866685135</v>
      </c>
      <c r="M36" s="52">
        <v>4.4271660972075466</v>
      </c>
      <c r="N36" s="52">
        <v>4.1875645174147547</v>
      </c>
      <c r="O36" s="52">
        <v>3.9852847670045795</v>
      </c>
      <c r="P36" s="52">
        <v>3.813013174899472</v>
      </c>
    </row>
    <row r="37" spans="1:16" x14ac:dyDescent="0.3">
      <c r="A37" s="51">
        <v>51</v>
      </c>
      <c r="B37" s="52">
        <v>41.899325930409972</v>
      </c>
      <c r="C37" s="52">
        <v>21.450596685490787</v>
      </c>
      <c r="D37" s="52">
        <v>14.643168266224427</v>
      </c>
      <c r="E37" s="52">
        <v>11.246276699333755</v>
      </c>
      <c r="F37" s="52">
        <v>9.2138004663921436</v>
      </c>
      <c r="G37" s="52">
        <v>7.8636829116728872</v>
      </c>
      <c r="H37" s="52">
        <v>6.9036143076734868</v>
      </c>
      <c r="I37" s="52">
        <v>6.1875828522589345</v>
      </c>
      <c r="J37" s="52">
        <v>5.634480135801331</v>
      </c>
      <c r="K37" s="52">
        <v>5.1957047680836475</v>
      </c>
      <c r="L37" s="52">
        <v>4.840286019034596</v>
      </c>
      <c r="M37" s="52">
        <v>4.5476211000260012</v>
      </c>
      <c r="N37" s="52">
        <v>4.3034232453824224</v>
      </c>
      <c r="O37" s="52">
        <v>4.0974737964188428</v>
      </c>
      <c r="P37" s="52">
        <v>3.9223153555559214</v>
      </c>
    </row>
    <row r="38" spans="1:16" x14ac:dyDescent="0.3">
      <c r="A38" s="51">
        <v>52</v>
      </c>
      <c r="B38" s="52">
        <v>42.898358557168613</v>
      </c>
      <c r="C38" s="52">
        <v>21.96728385613034</v>
      </c>
      <c r="D38" s="52">
        <v>14.9995309449827</v>
      </c>
      <c r="E38" s="52">
        <v>11.522875084732346</v>
      </c>
      <c r="F38" s="52">
        <v>9.4428414226167341</v>
      </c>
      <c r="G38" s="52">
        <v>8.0612734811363786</v>
      </c>
      <c r="H38" s="52">
        <v>7.0791524814176308</v>
      </c>
      <c r="I38" s="52">
        <v>6.3469710309911722</v>
      </c>
      <c r="J38" s="52">
        <v>5.7817454944571942</v>
      </c>
      <c r="K38" s="52">
        <v>5.3336285285878544</v>
      </c>
      <c r="L38" s="52">
        <v>4.9709525537296804</v>
      </c>
      <c r="M38" s="52">
        <v>4.6725764612944989</v>
      </c>
      <c r="N38" s="52">
        <v>4.423847610064815</v>
      </c>
      <c r="O38" s="52">
        <v>4.2143428635680422</v>
      </c>
      <c r="P38" s="52">
        <v>4.0364040658656606</v>
      </c>
    </row>
    <row r="39" spans="1:16" x14ac:dyDescent="0.3">
      <c r="A39" s="51">
        <v>53</v>
      </c>
      <c r="B39" s="52">
        <v>43.91703156505428</v>
      </c>
      <c r="C39" s="52">
        <v>22.494528015014957</v>
      </c>
      <c r="D39" s="52">
        <v>15.363524661927032</v>
      </c>
      <c r="E39" s="52">
        <v>11.805621692903314</v>
      </c>
      <c r="F39" s="52">
        <v>9.6771480413182775</v>
      </c>
      <c r="G39" s="52">
        <v>8.2638128567631668</v>
      </c>
      <c r="H39" s="52">
        <v>7.2594762124162688</v>
      </c>
      <c r="I39" s="52">
        <v>6.5111606458521303</v>
      </c>
      <c r="J39" s="52">
        <v>5.9338003806008999</v>
      </c>
      <c r="K39" s="52">
        <v>5.476422029445903</v>
      </c>
      <c r="L39" s="52">
        <v>5.1065505163128648</v>
      </c>
      <c r="M39" s="52">
        <v>4.8025161394168423</v>
      </c>
      <c r="N39" s="52">
        <v>4.549368549605969</v>
      </c>
      <c r="O39" s="52">
        <v>4.3364115101945941</v>
      </c>
      <c r="P39" s="52">
        <v>4.1558032875065134</v>
      </c>
    </row>
    <row r="40" spans="1:16" x14ac:dyDescent="0.3">
      <c r="A40" s="51">
        <v>54</v>
      </c>
      <c r="B40" s="52">
        <v>44.956006388985827</v>
      </c>
      <c r="C40" s="52">
        <v>23.032871631855265</v>
      </c>
      <c r="D40" s="52">
        <v>15.735479477941865</v>
      </c>
      <c r="E40" s="52">
        <v>12.094768136701903</v>
      </c>
      <c r="F40" s="52">
        <v>9.9173144745220867</v>
      </c>
      <c r="G40" s="52">
        <v>8.4719204690041092</v>
      </c>
      <c r="H40" s="52">
        <v>7.4453319652859511</v>
      </c>
      <c r="I40" s="52">
        <v>6.6808122073213578</v>
      </c>
      <c r="J40" s="52">
        <v>6.0913698674014016</v>
      </c>
      <c r="K40" s="52">
        <v>5.6247617837576529</v>
      </c>
      <c r="L40" s="52">
        <v>5.2477189635121677</v>
      </c>
      <c r="M40" s="52">
        <v>4.9381253244191727</v>
      </c>
      <c r="N40" s="52">
        <v>4.6806486045851008</v>
      </c>
      <c r="O40" s="52">
        <v>4.4643400264639643</v>
      </c>
      <c r="P40" s="52">
        <v>4.2811183028552318</v>
      </c>
    </row>
    <row r="41" spans="1:16" x14ac:dyDescent="0.3">
      <c r="A41" s="51">
        <v>55</v>
      </c>
      <c r="B41" s="52">
        <v>46.015339033132854</v>
      </c>
      <c r="C41" s="52">
        <v>23.582142347053232</v>
      </c>
      <c r="D41" s="52">
        <v>16.115255369432223</v>
      </c>
      <c r="E41" s="52">
        <v>12.39081700429638</v>
      </c>
      <c r="F41" s="52">
        <v>10.163893034185215</v>
      </c>
      <c r="G41" s="52">
        <v>8.6863311445968474</v>
      </c>
      <c r="H41" s="52">
        <v>7.6373371903294416</v>
      </c>
      <c r="I41" s="52">
        <v>6.8566281015257458</v>
      </c>
      <c r="J41" s="52">
        <v>6.2550942435482151</v>
      </c>
      <c r="K41" s="52">
        <v>5.7792422771046983</v>
      </c>
      <c r="L41" s="52">
        <v>5.3951097274704747</v>
      </c>
      <c r="M41" s="52">
        <v>5.0800289007242521</v>
      </c>
      <c r="N41" s="52">
        <v>4.8183105211994643</v>
      </c>
      <c r="O41" s="52">
        <v>4.5986868988710423</v>
      </c>
      <c r="P41" s="52">
        <v>4.4129186000757024</v>
      </c>
    </row>
    <row r="42" spans="1:16" x14ac:dyDescent="0.3">
      <c r="A42" s="53">
        <v>56</v>
      </c>
      <c r="B42" s="52">
        <v>47.096161539028742</v>
      </c>
      <c r="C42" s="52">
        <v>24.142974320866532</v>
      </c>
      <c r="D42" s="52">
        <v>16.504418750540683</v>
      </c>
      <c r="E42" s="52">
        <v>12.695153720949421</v>
      </c>
      <c r="F42" s="52">
        <v>10.418378487095866</v>
      </c>
      <c r="G42" s="52">
        <v>8.9082582934472132</v>
      </c>
      <c r="H42" s="52">
        <v>7.8367420366829936</v>
      </c>
      <c r="I42" s="52">
        <v>7.0397183455638777</v>
      </c>
      <c r="J42" s="52">
        <v>6.4259818916786369</v>
      </c>
      <c r="K42" s="52">
        <v>5.9409095389043305</v>
      </c>
      <c r="L42" s="52">
        <v>5.5497082315639048</v>
      </c>
      <c r="M42" s="52">
        <v>5.2291875270746804</v>
      </c>
      <c r="N42" s="52">
        <v>4.9632202980325735</v>
      </c>
      <c r="O42" s="52">
        <v>4.7403165214671166</v>
      </c>
      <c r="P42" s="52">
        <v>4.5520703952945087</v>
      </c>
    </row>
    <row r="43" spans="1:16" x14ac:dyDescent="0.3">
      <c r="A43" s="53">
        <v>57</v>
      </c>
      <c r="B43" s="52">
        <v>48.19962681982998</v>
      </c>
      <c r="C43" s="52">
        <v>24.718525368363199</v>
      </c>
      <c r="D43" s="52">
        <v>16.905252322994311</v>
      </c>
      <c r="E43" s="52">
        <v>13.010010908001105</v>
      </c>
      <c r="F43" s="52">
        <v>10.682444467973145</v>
      </c>
      <c r="G43" s="52">
        <v>9.1393533506689</v>
      </c>
      <c r="H43" s="52">
        <v>8.0449572935668776</v>
      </c>
      <c r="I43" s="52">
        <v>7.2313281137741798</v>
      </c>
      <c r="J43" s="52">
        <v>6.6053023658540519</v>
      </c>
      <c r="K43" s="52">
        <v>6.110938998507117</v>
      </c>
      <c r="L43" s="52">
        <v>5.712645563615844</v>
      </c>
      <c r="M43" s="52">
        <v>5.3866072775046208</v>
      </c>
      <c r="N43" s="52">
        <v>5.1163740385493321</v>
      </c>
      <c r="O43" s="52">
        <v>4.8902204665747364</v>
      </c>
      <c r="P43" s="52">
        <v>4.6995723574993189</v>
      </c>
    </row>
    <row r="44" spans="1:16" x14ac:dyDescent="0.3">
      <c r="A44" s="53">
        <v>58</v>
      </c>
      <c r="B44" s="52">
        <v>49.318007440538132</v>
      </c>
      <c r="C44" s="52">
        <v>25.303756196932667</v>
      </c>
      <c r="D44" s="52">
        <v>17.31483169081373</v>
      </c>
      <c r="E44" s="52">
        <v>13.332707002555022</v>
      </c>
      <c r="F44" s="52">
        <v>10.954129366103013</v>
      </c>
      <c r="G44" s="52">
        <v>9.3778217260992349</v>
      </c>
      <c r="H44" s="52">
        <v>8.2603361259056545</v>
      </c>
      <c r="I44" s="52">
        <v>7.430122322244662</v>
      </c>
      <c r="J44" s="52">
        <v>6.79181600214919</v>
      </c>
      <c r="K44" s="52">
        <v>6.2882068906532762</v>
      </c>
      <c r="L44" s="52">
        <v>5.882783355906561</v>
      </c>
      <c r="M44" s="52">
        <v>5.5512518034833951</v>
      </c>
      <c r="N44" s="52">
        <v>5.2768239709505371</v>
      </c>
      <c r="O44" s="52">
        <v>5.0475373579716836</v>
      </c>
      <c r="P44" s="52">
        <v>4.8546399634420778</v>
      </c>
    </row>
    <row r="45" spans="1:16" x14ac:dyDescent="0.3">
      <c r="A45" s="53">
        <v>59</v>
      </c>
      <c r="B45" s="52">
        <v>50.448290884919402</v>
      </c>
      <c r="C45" s="52">
        <v>25.898871912528001</v>
      </c>
      <c r="D45" s="52">
        <v>17.732549324846335</v>
      </c>
      <c r="E45" s="52">
        <v>13.663204882899727</v>
      </c>
      <c r="F45" s="52">
        <v>11.233241764625614</v>
      </c>
      <c r="G45" s="52">
        <v>9.6234150849473661</v>
      </c>
      <c r="H45" s="52">
        <v>8.4828600112126136</v>
      </c>
      <c r="I45" s="52">
        <v>7.6360594750942843</v>
      </c>
      <c r="J45" s="52">
        <v>6.9855148383888519</v>
      </c>
      <c r="K45" s="52">
        <v>6.4725970149409262</v>
      </c>
      <c r="L45" s="52">
        <v>6.060058597842759</v>
      </c>
      <c r="M45" s="52">
        <v>5.7231056619369314</v>
      </c>
      <c r="N45" s="52">
        <v>5.4446080534471353</v>
      </c>
      <c r="O45" s="52">
        <v>5.2123539780462176</v>
      </c>
      <c r="P45" s="52">
        <v>5.0173993218414976</v>
      </c>
    </row>
    <row r="46" spans="1:16" x14ac:dyDescent="0.3">
      <c r="A46" s="53">
        <v>60</v>
      </c>
      <c r="B46" s="52">
        <v>51.582451274605091</v>
      </c>
      <c r="C46" s="52">
        <v>26.497099923248193</v>
      </c>
      <c r="D46" s="52">
        <v>18.154451259807789</v>
      </c>
      <c r="E46" s="52">
        <v>13.998119666184826</v>
      </c>
      <c r="F46" s="52">
        <v>11.516837746259478</v>
      </c>
      <c r="G46" s="52">
        <v>9.8738675836266925</v>
      </c>
      <c r="H46" s="52">
        <v>8.7104768826825314</v>
      </c>
      <c r="I46" s="52">
        <v>7.8473146382226009</v>
      </c>
      <c r="J46" s="52">
        <v>7.1845778639977045</v>
      </c>
      <c r="K46" s="52">
        <v>6.6624677536586487</v>
      </c>
      <c r="L46" s="52">
        <v>6.2429777217261719</v>
      </c>
      <c r="M46" s="52">
        <v>5.9008119867567368</v>
      </c>
      <c r="N46" s="52">
        <v>5.6184862352936866</v>
      </c>
      <c r="O46" s="52">
        <v>5.3835245126587221</v>
      </c>
      <c r="P46" s="52">
        <v>5.1867914432904181</v>
      </c>
    </row>
    <row r="47" spans="1:16" x14ac:dyDescent="0.3">
      <c r="A47" s="53">
        <v>61</v>
      </c>
      <c r="B47" s="52">
        <v>52.721772025005052</v>
      </c>
      <c r="C47" s="52">
        <v>27.102047747994469</v>
      </c>
      <c r="D47" s="52">
        <v>18.582594205442334</v>
      </c>
      <c r="E47" s="52">
        <v>14.338886886172924</v>
      </c>
      <c r="F47" s="52">
        <v>11.806535546036809</v>
      </c>
      <c r="G47" s="52">
        <v>10.130516872448849</v>
      </c>
      <c r="H47" s="52">
        <v>8.9444148936165426</v>
      </c>
      <c r="I47" s="52">
        <v>8.0648106979437149</v>
      </c>
      <c r="J47" s="52">
        <v>7.3899192369737632</v>
      </c>
      <c r="K47" s="52">
        <v>6.8587291223772962</v>
      </c>
      <c r="L47" s="52">
        <v>6.4324654913681405</v>
      </c>
      <c r="M47" s="52">
        <v>6.0853113054953765</v>
      </c>
      <c r="N47" s="52">
        <v>5.7994077534978237</v>
      </c>
      <c r="O47" s="52">
        <v>5.5620143905463024</v>
      </c>
      <c r="P47" s="52">
        <v>5.3638099122901117</v>
      </c>
    </row>
    <row r="48" spans="1:16" x14ac:dyDescent="0.3">
      <c r="A48" s="53">
        <v>62</v>
      </c>
      <c r="B48" s="52">
        <v>53.85913073654811</v>
      </c>
      <c r="C48" s="52">
        <v>27.707532564733278</v>
      </c>
      <c r="D48" s="52">
        <v>19.012165454399295</v>
      </c>
      <c r="E48" s="52">
        <v>14.682376049733451</v>
      </c>
      <c r="F48" s="52">
        <v>12.099599959429169</v>
      </c>
      <c r="G48" s="52">
        <v>10.391031717043678</v>
      </c>
      <c r="H48" s="52">
        <v>9.182334115984732</v>
      </c>
      <c r="I48" s="52">
        <v>8.2865029393416503</v>
      </c>
      <c r="J48" s="52">
        <v>7.5997231246713097</v>
      </c>
      <c r="K48" s="52">
        <v>7.0597667020941008</v>
      </c>
      <c r="L48" s="52">
        <v>6.6270722317399242</v>
      </c>
      <c r="M48" s="52">
        <v>6.2752815540061864</v>
      </c>
      <c r="N48" s="52">
        <v>5.9861650357008429</v>
      </c>
      <c r="O48" s="52">
        <v>5.746726990065901</v>
      </c>
      <c r="P48" s="52">
        <v>5.5474704874950795</v>
      </c>
    </row>
    <row r="49" spans="1:16" x14ac:dyDescent="0.3">
      <c r="A49" s="53">
        <v>63</v>
      </c>
      <c r="B49" s="52">
        <v>54.995533720554405</v>
      </c>
      <c r="C49" s="52">
        <v>28.314074334408076</v>
      </c>
      <c r="D49" s="52">
        <v>19.444974194027647</v>
      </c>
      <c r="E49" s="52">
        <v>15.029835402899847</v>
      </c>
      <c r="F49" s="52">
        <v>12.397140859404093</v>
      </c>
      <c r="G49" s="52">
        <v>10.656007138988388</v>
      </c>
      <c r="H49" s="52">
        <v>9.4248749663757092</v>
      </c>
      <c r="I49" s="52">
        <v>8.5130617462181064</v>
      </c>
      <c r="J49" s="52">
        <v>7.814705884294324</v>
      </c>
      <c r="K49" s="52">
        <v>7.2663341363262957</v>
      </c>
      <c r="L49" s="52">
        <v>6.8275717948912336</v>
      </c>
      <c r="M49" s="52">
        <v>6.471523457224599</v>
      </c>
      <c r="N49" s="52">
        <v>6.1795992430339206</v>
      </c>
      <c r="O49" s="52">
        <v>5.9385598430739321</v>
      </c>
      <c r="P49" s="52">
        <v>5.7387357909105479</v>
      </c>
    </row>
    <row r="50" spans="1:16" x14ac:dyDescent="0.3">
      <c r="A50" s="53">
        <v>64</v>
      </c>
      <c r="B50" s="52">
        <v>56.132300101847044</v>
      </c>
      <c r="C50" s="52">
        <v>28.925662345935933</v>
      </c>
      <c r="D50" s="52">
        <v>19.883232882745492</v>
      </c>
      <c r="E50" s="52">
        <v>15.383016349414296</v>
      </c>
      <c r="F50" s="52">
        <v>12.700029523783245</v>
      </c>
      <c r="G50" s="52">
        <v>10.926335555374791</v>
      </c>
      <c r="H50" s="52">
        <v>9.6729369164038754</v>
      </c>
      <c r="I50" s="52">
        <v>8.7454200439808822</v>
      </c>
      <c r="J50" s="52">
        <v>8.0358259719990119</v>
      </c>
      <c r="K50" s="52">
        <v>7.4793969830201874</v>
      </c>
      <c r="L50" s="52">
        <v>7.0349477182268583</v>
      </c>
      <c r="M50" s="52">
        <v>6.675056796029466</v>
      </c>
      <c r="N50" s="52">
        <v>6.3807866086821372</v>
      </c>
      <c r="O50" s="52">
        <v>6.1386566604116952</v>
      </c>
      <c r="P50" s="52">
        <v>5.9388128414093941</v>
      </c>
    </row>
    <row r="51" spans="1:16" x14ac:dyDescent="0.3">
      <c r="A51" s="53">
        <v>65</v>
      </c>
      <c r="B51" s="52">
        <v>57.26261944003187</v>
      </c>
      <c r="C51" s="52">
        <v>29.535810848944319</v>
      </c>
      <c r="D51" s="52">
        <v>20.322224407204132</v>
      </c>
      <c r="E51" s="52">
        <v>15.737214401754185</v>
      </c>
      <c r="F51" s="52">
        <v>13.004543052778574</v>
      </c>
      <c r="G51" s="52">
        <v>11.19892731486827</v>
      </c>
      <c r="H51" s="52">
        <v>9.9239126717057449</v>
      </c>
      <c r="I51" s="52">
        <v>8.9813241378926421</v>
      </c>
      <c r="J51" s="52">
        <v>8.2610813562981065</v>
      </c>
      <c r="K51" s="52">
        <v>7.6971639242708587</v>
      </c>
      <c r="L51" s="52">
        <v>7.2476014016278381</v>
      </c>
      <c r="M51" s="52">
        <v>6.8844689905011904</v>
      </c>
      <c r="N51" s="52">
        <v>6.5884890788314925</v>
      </c>
      <c r="O51" s="52">
        <v>6.3459291747633548</v>
      </c>
      <c r="P51" s="52">
        <v>6.1467704813882369</v>
      </c>
    </row>
    <row r="52" spans="1:16" x14ac:dyDescent="0.3">
      <c r="A52" s="53">
        <v>66</v>
      </c>
      <c r="B52" s="52">
        <v>58.387967133592262</v>
      </c>
      <c r="C52" s="52">
        <v>30.146238165794248</v>
      </c>
      <c r="D52" s="52">
        <v>20.761624463682104</v>
      </c>
      <c r="E52" s="52">
        <v>16.092679451591984</v>
      </c>
      <c r="F52" s="52">
        <v>13.311166288794325</v>
      </c>
      <c r="G52" s="52">
        <v>11.474437427314705</v>
      </c>
      <c r="H52" s="52">
        <v>10.178555350602938</v>
      </c>
      <c r="I52" s="52">
        <v>9.2215662001082457</v>
      </c>
      <c r="J52" s="52">
        <v>8.4913063930404338</v>
      </c>
      <c r="K52" s="52">
        <v>7.9205296985471358</v>
      </c>
      <c r="L52" s="52">
        <v>7.4665101818063251</v>
      </c>
      <c r="M52" s="52">
        <v>7.1008294660473812</v>
      </c>
      <c r="N52" s="52">
        <v>6.8038573272731133</v>
      </c>
      <c r="O52" s="52">
        <v>6.5616335523482636</v>
      </c>
      <c r="P52" s="52">
        <v>6.364014131043457</v>
      </c>
    </row>
    <row r="53" spans="1:16" x14ac:dyDescent="0.3">
      <c r="A53" s="53">
        <v>67</v>
      </c>
      <c r="B53" s="52">
        <v>59.507921035277043</v>
      </c>
      <c r="C53" s="52">
        <v>30.752771773628854</v>
      </c>
      <c r="D53" s="52">
        <v>21.199598805264255</v>
      </c>
      <c r="E53" s="52">
        <v>16.448434358657877</v>
      </c>
      <c r="F53" s="52">
        <v>13.619421597753732</v>
      </c>
      <c r="G53" s="52">
        <v>11.752672467356245</v>
      </c>
      <c r="H53" s="52">
        <v>10.43682093093185</v>
      </c>
      <c r="I53" s="52">
        <v>9.466225894123335</v>
      </c>
      <c r="J53" s="52">
        <v>8.7267075305999136</v>
      </c>
      <c r="K53" s="52">
        <v>8.1498403713017513</v>
      </c>
      <c r="L53" s="52">
        <v>7.6921598985566177</v>
      </c>
      <c r="M53" s="52">
        <v>7.3247420454121839</v>
      </c>
      <c r="N53" s="52">
        <v>7.0276357054119671</v>
      </c>
      <c r="O53" s="52">
        <v>6.7867009902171889</v>
      </c>
      <c r="P53" s="52">
        <v>6.5916783692370355</v>
      </c>
    </row>
    <row r="54" spans="1:16" x14ac:dyDescent="0.3">
      <c r="A54" s="53">
        <v>68</v>
      </c>
      <c r="B54" s="52">
        <v>60.631318220588916</v>
      </c>
      <c r="C54" s="52">
        <v>31.364445380061024</v>
      </c>
      <c r="D54" s="52">
        <v>21.643490395867158</v>
      </c>
      <c r="E54" s="52">
        <v>16.810792532154686</v>
      </c>
      <c r="F54" s="52">
        <v>13.934890782823844</v>
      </c>
      <c r="G54" s="52">
        <v>12.038643592821883</v>
      </c>
      <c r="H54" s="52">
        <v>10.703331337540019</v>
      </c>
      <c r="I54" s="52">
        <v>9.719677762250658</v>
      </c>
      <c r="J54" s="52">
        <v>8.9715206815070214</v>
      </c>
      <c r="K54" s="52">
        <v>8.3892584739749214</v>
      </c>
      <c r="L54" s="52">
        <v>7.9286613224818669</v>
      </c>
      <c r="M54" s="52">
        <v>7.5603305725279748</v>
      </c>
      <c r="N54" s="52">
        <v>7.2640456815478336</v>
      </c>
      <c r="O54" s="52">
        <v>7.0254932885803427</v>
      </c>
      <c r="P54" s="52">
        <v>6.8342649855225277</v>
      </c>
    </row>
    <row r="55" spans="1:16" x14ac:dyDescent="0.3">
      <c r="A55" s="53">
        <v>69</v>
      </c>
      <c r="B55" s="52">
        <v>61.757401652428889</v>
      </c>
      <c r="C55" s="52">
        <v>31.981042947989359</v>
      </c>
      <c r="D55" s="52">
        <v>22.093508123246366</v>
      </c>
      <c r="E55" s="52">
        <v>17.180124224548386</v>
      </c>
      <c r="F55" s="52">
        <v>14.257965699141403</v>
      </c>
      <c r="G55" s="52">
        <v>12.332801964595692</v>
      </c>
      <c r="H55" s="52">
        <v>10.978643849553379</v>
      </c>
      <c r="I55" s="52">
        <v>9.9826256305808236</v>
      </c>
      <c r="J55" s="52">
        <v>9.2266052905101148</v>
      </c>
      <c r="K55" s="52">
        <v>8.6397714385341597</v>
      </c>
      <c r="L55" s="52">
        <v>8.1771684273155323</v>
      </c>
      <c r="M55" s="52">
        <v>7.80898494393068</v>
      </c>
      <c r="N55" s="52">
        <v>7.5147369155810839</v>
      </c>
      <c r="O55" s="52">
        <v>7.2798973329954411</v>
      </c>
      <c r="P55" s="52">
        <v>7.0938408367201964</v>
      </c>
    </row>
  </sheetData>
  <mergeCells count="2">
    <mergeCell ref="A1:P1"/>
    <mergeCell ref="B2:P2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26681-5EE9-4C8C-A8CD-2B5D44F1582B}">
  <sheetPr codeName="Feuil2">
    <tabColor rgb="FF0070C0"/>
  </sheetPr>
  <dimension ref="A1:P55"/>
  <sheetViews>
    <sheetView workbookViewId="0">
      <selection sqref="A1:P1"/>
    </sheetView>
  </sheetViews>
  <sheetFormatPr baseColWidth="10" defaultRowHeight="14.4" x14ac:dyDescent="0.3"/>
  <cols>
    <col min="1" max="1" width="4.21875" style="47" bestFit="1" customWidth="1"/>
    <col min="2" max="11" width="7.44140625" style="50" bestFit="1" customWidth="1"/>
    <col min="12" max="16" width="6.44140625" style="50" bestFit="1" customWidth="1"/>
    <col min="17" max="16384" width="11.5546875" style="48"/>
  </cols>
  <sheetData>
    <row r="1" spans="1:16" x14ac:dyDescent="0.3">
      <c r="A1" s="56" t="s">
        <v>54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</row>
    <row r="2" spans="1:16" x14ac:dyDescent="0.3">
      <c r="B2" s="56" t="s">
        <v>38</v>
      </c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</row>
    <row r="3" spans="1:16" s="47" customFormat="1" x14ac:dyDescent="0.3">
      <c r="A3" s="51" t="s">
        <v>55</v>
      </c>
      <c r="B3" s="51">
        <v>12</v>
      </c>
      <c r="C3" s="51">
        <v>24</v>
      </c>
      <c r="D3" s="51">
        <v>36</v>
      </c>
      <c r="E3" s="51">
        <v>48</v>
      </c>
      <c r="F3" s="51">
        <v>60</v>
      </c>
      <c r="G3" s="51">
        <v>72</v>
      </c>
      <c r="H3" s="51">
        <v>84</v>
      </c>
      <c r="I3" s="51">
        <v>96</v>
      </c>
      <c r="J3" s="51">
        <v>108</v>
      </c>
      <c r="K3" s="51">
        <v>120</v>
      </c>
      <c r="L3" s="51">
        <v>132</v>
      </c>
      <c r="M3" s="51">
        <v>144</v>
      </c>
      <c r="N3" s="51">
        <v>156</v>
      </c>
      <c r="O3" s="51">
        <v>168</v>
      </c>
      <c r="P3" s="51">
        <v>180</v>
      </c>
    </row>
    <row r="4" spans="1:16" x14ac:dyDescent="0.3">
      <c r="A4" s="51">
        <v>18</v>
      </c>
      <c r="B4" s="52">
        <v>211.06824731000236</v>
      </c>
      <c r="C4" s="52">
        <v>107.68212001434372</v>
      </c>
      <c r="D4" s="52">
        <v>73.248059251778102</v>
      </c>
      <c r="E4" s="52">
        <v>56.051409263110621</v>
      </c>
      <c r="F4" s="52">
        <v>45.749472502204007</v>
      </c>
      <c r="G4" s="52">
        <v>38.894785686233469</v>
      </c>
      <c r="H4" s="52">
        <v>34.009970853119789</v>
      </c>
      <c r="I4" s="52">
        <v>30.356420728338222</v>
      </c>
      <c r="J4" s="52">
        <v>27.523816328185045</v>
      </c>
      <c r="K4" s="52">
        <v>25.266005951690538</v>
      </c>
      <c r="L4" s="52">
        <v>23.426346072129625</v>
      </c>
      <c r="M4" s="52">
        <v>21.900400342259928</v>
      </c>
      <c r="N4" s="52">
        <v>20.615873480532525</v>
      </c>
      <c r="O4" s="52">
        <v>19.521117501126735</v>
      </c>
      <c r="P4" s="52">
        <v>18.57825191341173</v>
      </c>
    </row>
    <row r="5" spans="1:16" x14ac:dyDescent="0.3">
      <c r="A5" s="51">
        <v>19</v>
      </c>
      <c r="B5" s="52">
        <v>216.61198049146358</v>
      </c>
      <c r="C5" s="52">
        <v>110.519817873384</v>
      </c>
      <c r="D5" s="52">
        <v>75.182965343822218</v>
      </c>
      <c r="E5" s="52">
        <v>57.534693442282283</v>
      </c>
      <c r="F5" s="52">
        <v>46.961759190134828</v>
      </c>
      <c r="G5" s="52">
        <v>39.926542058809815</v>
      </c>
      <c r="H5" s="52">
        <v>34.91301260540471</v>
      </c>
      <c r="I5" s="52">
        <v>31.163168858692249</v>
      </c>
      <c r="J5" s="52">
        <v>28.255943313326124</v>
      </c>
      <c r="K5" s="52">
        <v>25.938689329543582</v>
      </c>
      <c r="L5" s="52">
        <v>24.050620796653856</v>
      </c>
      <c r="M5" s="52">
        <v>22.484554268639442</v>
      </c>
      <c r="N5" s="52">
        <v>21.166275049618754</v>
      </c>
      <c r="O5" s="52">
        <v>20.042766184597657</v>
      </c>
      <c r="P5" s="52">
        <v>19.07518285229304</v>
      </c>
    </row>
    <row r="6" spans="1:16" x14ac:dyDescent="0.3">
      <c r="A6" s="51">
        <v>20</v>
      </c>
      <c r="B6" s="52">
        <v>222.21522446574173</v>
      </c>
      <c r="C6" s="52">
        <v>113.38440208519719</v>
      </c>
      <c r="D6" s="52">
        <v>77.1344945338099</v>
      </c>
      <c r="E6" s="52">
        <v>59.029726591813073</v>
      </c>
      <c r="F6" s="52">
        <v>48.183109034328957</v>
      </c>
      <c r="G6" s="52">
        <v>40.965755377200459</v>
      </c>
      <c r="H6" s="52">
        <v>35.822431479804159</v>
      </c>
      <c r="I6" s="52">
        <v>31.975572538952775</v>
      </c>
      <c r="J6" s="52">
        <v>28.993185635789061</v>
      </c>
      <c r="K6" s="52">
        <v>26.616059581391802</v>
      </c>
      <c r="L6" s="52">
        <v>24.679250155958435</v>
      </c>
      <c r="M6" s="52">
        <v>23.072781104028817</v>
      </c>
      <c r="N6" s="52">
        <v>21.720507334201514</v>
      </c>
      <c r="O6" s="52">
        <v>20.568079884914042</v>
      </c>
      <c r="P6" s="52">
        <v>19.575669021276767</v>
      </c>
    </row>
    <row r="7" spans="1:16" x14ac:dyDescent="0.3">
      <c r="A7" s="51">
        <v>21</v>
      </c>
      <c r="B7" s="52">
        <v>227.93987497614623</v>
      </c>
      <c r="C7" s="52">
        <v>116.30892852738707</v>
      </c>
      <c r="D7" s="52">
        <v>79.125746946187249</v>
      </c>
      <c r="E7" s="52">
        <v>60.554678809489062</v>
      </c>
      <c r="F7" s="52">
        <v>49.428721590596268</v>
      </c>
      <c r="G7" s="52">
        <v>42.025525487213763</v>
      </c>
      <c r="H7" s="52">
        <v>36.74986237309507</v>
      </c>
      <c r="I7" s="52">
        <v>32.804096571878674</v>
      </c>
      <c r="J7" s="52">
        <v>29.745076204152536</v>
      </c>
      <c r="K7" s="52">
        <v>27.30692050769207</v>
      </c>
      <c r="L7" s="52">
        <v>25.320415973857479</v>
      </c>
      <c r="M7" s="52">
        <v>23.672744613658953</v>
      </c>
      <c r="N7" s="52">
        <v>22.285849909022094</v>
      </c>
      <c r="O7" s="52">
        <v>21.104007244878566</v>
      </c>
      <c r="P7" s="52">
        <v>20.086385564237162</v>
      </c>
    </row>
    <row r="8" spans="1:16" x14ac:dyDescent="0.3">
      <c r="A8" s="51">
        <v>22</v>
      </c>
      <c r="B8" s="52">
        <v>233.82396845791081</v>
      </c>
      <c r="C8" s="52">
        <v>119.31344237327929</v>
      </c>
      <c r="D8" s="52">
        <v>81.170969555575041</v>
      </c>
      <c r="E8" s="52">
        <v>62.120888386178216</v>
      </c>
      <c r="F8" s="52">
        <v>50.708017452115506</v>
      </c>
      <c r="G8" s="52">
        <v>43.114051349467651</v>
      </c>
      <c r="H8" s="52">
        <v>37.702537990813155</v>
      </c>
      <c r="I8" s="52">
        <v>33.655223623855221</v>
      </c>
      <c r="J8" s="52">
        <v>30.517536846313678</v>
      </c>
      <c r="K8" s="52">
        <v>28.016714149494042</v>
      </c>
      <c r="L8" s="52">
        <v>25.97916839560779</v>
      </c>
      <c r="M8" s="52">
        <v>24.289233309082327</v>
      </c>
      <c r="N8" s="52">
        <v>22.866866959315818</v>
      </c>
      <c r="O8" s="52">
        <v>21.6549348711448</v>
      </c>
      <c r="P8" s="52">
        <v>20.611516040372869</v>
      </c>
    </row>
    <row r="9" spans="1:16" x14ac:dyDescent="0.3">
      <c r="A9" s="51">
        <v>23</v>
      </c>
      <c r="B9" s="52">
        <v>239.89530088231331</v>
      </c>
      <c r="C9" s="52">
        <v>122.41319537883345</v>
      </c>
      <c r="D9" s="52">
        <v>83.281145939597891</v>
      </c>
      <c r="E9" s="52">
        <v>63.736917174803132</v>
      </c>
      <c r="F9" s="52">
        <v>52.028202092633059</v>
      </c>
      <c r="G9" s="52">
        <v>44.237505054567208</v>
      </c>
      <c r="H9" s="52">
        <v>38.685863210695466</v>
      </c>
      <c r="I9" s="52">
        <v>34.533815551267928</v>
      </c>
      <c r="J9" s="52">
        <v>31.314968860612446</v>
      </c>
      <c r="K9" s="52">
        <v>28.749475352877536</v>
      </c>
      <c r="L9" s="52">
        <v>26.659322107941364</v>
      </c>
      <c r="M9" s="52">
        <v>24.925874199100484</v>
      </c>
      <c r="N9" s="52">
        <v>23.46704359770963</v>
      </c>
      <c r="O9" s="52">
        <v>22.224167885808196</v>
      </c>
      <c r="P9" s="52">
        <v>21.154245632260036</v>
      </c>
    </row>
    <row r="10" spans="1:16" x14ac:dyDescent="0.3">
      <c r="A10" s="51">
        <v>24</v>
      </c>
      <c r="B10" s="52">
        <v>246.16658547353751</v>
      </c>
      <c r="C10" s="52">
        <v>125.61550953576818</v>
      </c>
      <c r="D10" s="52">
        <v>85.461305788531462</v>
      </c>
      <c r="E10" s="52">
        <v>65.406855592251503</v>
      </c>
      <c r="F10" s="52">
        <v>53.392618393158521</v>
      </c>
      <c r="G10" s="52">
        <v>45.398701242172137</v>
      </c>
      <c r="H10" s="52">
        <v>39.702324657348669</v>
      </c>
      <c r="I10" s="52">
        <v>35.442065255385785</v>
      </c>
      <c r="J10" s="52">
        <v>32.139340965517547</v>
      </c>
      <c r="K10" s="52">
        <v>29.507092868945072</v>
      </c>
      <c r="L10" s="52">
        <v>27.362694172757582</v>
      </c>
      <c r="M10" s="52">
        <v>25.584444007795266</v>
      </c>
      <c r="N10" s="52">
        <v>24.088052131497143</v>
      </c>
      <c r="O10" s="52">
        <v>22.813331178168749</v>
      </c>
      <c r="P10" s="52">
        <v>21.716135294415341</v>
      </c>
    </row>
    <row r="11" spans="1:16" x14ac:dyDescent="0.3">
      <c r="A11" s="51">
        <v>25</v>
      </c>
      <c r="B11" s="52">
        <v>252.63982391449116</v>
      </c>
      <c r="C11" s="52">
        <v>128.92107837002209</v>
      </c>
      <c r="D11" s="52">
        <v>87.712249066629468</v>
      </c>
      <c r="E11" s="52">
        <v>67.131258128583809</v>
      </c>
      <c r="F11" s="52">
        <v>54.801645993445263</v>
      </c>
      <c r="G11" s="52">
        <v>46.597979929798186</v>
      </c>
      <c r="H11" s="52">
        <v>40.752171653631741</v>
      </c>
      <c r="I11" s="52">
        <v>36.38016169353925</v>
      </c>
      <c r="J11" s="52">
        <v>32.990921562444363</v>
      </c>
      <c r="K11" s="52">
        <v>30.289889087596404</v>
      </c>
      <c r="L11" s="52">
        <v>28.089673529699208</v>
      </c>
      <c r="M11" s="52">
        <v>26.265301428365028</v>
      </c>
      <c r="N11" s="52">
        <v>24.730275438928274</v>
      </c>
      <c r="O11" s="52">
        <v>23.422800829062879</v>
      </c>
      <c r="P11" s="52">
        <v>22.29757857913722</v>
      </c>
    </row>
    <row r="12" spans="1:16" x14ac:dyDescent="0.3">
      <c r="A12" s="51">
        <v>26</v>
      </c>
      <c r="B12" s="52">
        <v>259.32179796395525</v>
      </c>
      <c r="C12" s="52">
        <v>132.33428960319367</v>
      </c>
      <c r="D12" s="52">
        <v>90.036839104996659</v>
      </c>
      <c r="E12" s="52">
        <v>68.91219864717327</v>
      </c>
      <c r="F12" s="52">
        <v>56.257006796967516</v>
      </c>
      <c r="G12" s="52">
        <v>47.836740071849796</v>
      </c>
      <c r="H12" s="52">
        <v>41.836585131228262</v>
      </c>
      <c r="I12" s="52">
        <v>37.349287083682633</v>
      </c>
      <c r="J12" s="52">
        <v>33.870879091513885</v>
      </c>
      <c r="K12" s="52">
        <v>31.099047745670905</v>
      </c>
      <c r="L12" s="52">
        <v>28.841350820087985</v>
      </c>
      <c r="M12" s="52">
        <v>26.969519810344575</v>
      </c>
      <c r="N12" s="52">
        <v>25.394739350288809</v>
      </c>
      <c r="O12" s="52">
        <v>24.053589594247743</v>
      </c>
      <c r="P12" s="52">
        <v>22.899587870331697</v>
      </c>
    </row>
    <row r="13" spans="1:16" x14ac:dyDescent="0.3">
      <c r="A13" s="51">
        <v>27</v>
      </c>
      <c r="B13" s="52">
        <v>266.20858577950094</v>
      </c>
      <c r="C13" s="52">
        <v>135.85237378001719</v>
      </c>
      <c r="D13" s="52">
        <v>92.432886223970385</v>
      </c>
      <c r="E13" s="52">
        <v>70.748021207345602</v>
      </c>
      <c r="F13" s="52">
        <v>57.757237756790161</v>
      </c>
      <c r="G13" s="52">
        <v>49.113671373472762</v>
      </c>
      <c r="H13" s="52">
        <v>42.95458626118107</v>
      </c>
      <c r="I13" s="52">
        <v>38.348687035830039</v>
      </c>
      <c r="J13" s="52">
        <v>34.778664157399845</v>
      </c>
      <c r="K13" s="52">
        <v>31.934050106178532</v>
      </c>
      <c r="L13" s="52">
        <v>29.617305840028262</v>
      </c>
      <c r="M13" s="52">
        <v>27.696720502818707</v>
      </c>
      <c r="N13" s="52">
        <v>26.081132739472739</v>
      </c>
      <c r="O13" s="52">
        <v>24.705456345215541</v>
      </c>
      <c r="P13" s="52">
        <v>23.521984606777888</v>
      </c>
    </row>
    <row r="14" spans="1:16" x14ac:dyDescent="0.3">
      <c r="A14" s="51">
        <v>28</v>
      </c>
      <c r="B14" s="52">
        <v>273.30635109909758</v>
      </c>
      <c r="C14" s="52">
        <v>139.47817814284059</v>
      </c>
      <c r="D14" s="52">
        <v>94.902510336226854</v>
      </c>
      <c r="E14" s="52">
        <v>72.640225984493597</v>
      </c>
      <c r="F14" s="52">
        <v>59.303499542539647</v>
      </c>
      <c r="G14" s="52">
        <v>50.430015188940345</v>
      </c>
      <c r="H14" s="52">
        <v>44.107430179754765</v>
      </c>
      <c r="I14" s="52">
        <v>39.379661275178705</v>
      </c>
      <c r="J14" s="52">
        <v>35.715439072594151</v>
      </c>
      <c r="K14" s="52">
        <v>32.796040371514614</v>
      </c>
      <c r="L14" s="52">
        <v>30.418617991218053</v>
      </c>
      <c r="M14" s="52">
        <v>28.447968157793987</v>
      </c>
      <c r="N14" s="52">
        <v>26.790522163249868</v>
      </c>
      <c r="O14" s="52">
        <v>25.379471501703691</v>
      </c>
      <c r="P14" s="52">
        <v>24.165871424506449</v>
      </c>
    </row>
    <row r="15" spans="1:16" x14ac:dyDescent="0.3">
      <c r="A15" s="51">
        <v>29</v>
      </c>
      <c r="B15" s="52">
        <v>280.62516245215795</v>
      </c>
      <c r="C15" s="52">
        <v>143.21741824373746</v>
      </c>
      <c r="D15" s="52">
        <v>97.449382561475431</v>
      </c>
      <c r="E15" s="52">
        <v>74.591533425211068</v>
      </c>
      <c r="F15" s="52">
        <v>60.898397646970245</v>
      </c>
      <c r="G15" s="52">
        <v>51.788220148557357</v>
      </c>
      <c r="H15" s="52">
        <v>45.297492151238082</v>
      </c>
      <c r="I15" s="52">
        <v>40.444302221028437</v>
      </c>
      <c r="J15" s="52">
        <v>36.683194239186953</v>
      </c>
      <c r="K15" s="52">
        <v>33.686864716560443</v>
      </c>
      <c r="L15" s="52">
        <v>31.247063776683746</v>
      </c>
      <c r="M15" s="52">
        <v>29.224998344287322</v>
      </c>
      <c r="N15" s="52">
        <v>27.524610978032545</v>
      </c>
      <c r="O15" s="52">
        <v>26.077344634542268</v>
      </c>
      <c r="P15" s="52">
        <v>24.832894635663237</v>
      </c>
    </row>
    <row r="16" spans="1:16" x14ac:dyDescent="0.3">
      <c r="A16" s="51">
        <v>30</v>
      </c>
      <c r="B16" s="52">
        <v>288.16917178406078</v>
      </c>
      <c r="C16" s="52">
        <v>147.07140821737156</v>
      </c>
      <c r="D16" s="52">
        <v>100.07420193992196</v>
      </c>
      <c r="E16" s="52">
        <v>76.603087545689306</v>
      </c>
      <c r="F16" s="52">
        <v>62.543186110148476</v>
      </c>
      <c r="G16" s="52">
        <v>53.189656514600991</v>
      </c>
      <c r="H16" s="52">
        <v>46.525913567421576</v>
      </c>
      <c r="I16" s="52">
        <v>41.543736359460773</v>
      </c>
      <c r="J16" s="52">
        <v>37.682964340909692</v>
      </c>
      <c r="K16" s="52">
        <v>34.607544828663151</v>
      </c>
      <c r="L16" s="52">
        <v>32.103674530065668</v>
      </c>
      <c r="M16" s="52">
        <v>30.028852605318853</v>
      </c>
      <c r="N16" s="52">
        <v>28.284488921729746</v>
      </c>
      <c r="O16" s="52">
        <v>26.800125179119021</v>
      </c>
      <c r="P16" s="52">
        <v>25.524102243320439</v>
      </c>
    </row>
    <row r="17" spans="1:16" x14ac:dyDescent="0.3">
      <c r="A17" s="51">
        <v>31</v>
      </c>
      <c r="B17" s="52">
        <v>295.95172107757099</v>
      </c>
      <c r="C17" s="52">
        <v>151.04693228144077</v>
      </c>
      <c r="D17" s="52">
        <v>102.78282370476519</v>
      </c>
      <c r="E17" s="52">
        <v>78.679880653406258</v>
      </c>
      <c r="F17" s="52">
        <v>64.242372188143634</v>
      </c>
      <c r="G17" s="52">
        <v>54.638058848489919</v>
      </c>
      <c r="H17" s="52">
        <v>47.79609463013751</v>
      </c>
      <c r="I17" s="52">
        <v>42.681008313814665</v>
      </c>
      <c r="J17" s="52">
        <v>38.717595781535294</v>
      </c>
      <c r="K17" s="52">
        <v>35.560793779122754</v>
      </c>
      <c r="L17" s="52">
        <v>32.991056796522351</v>
      </c>
      <c r="M17" s="52">
        <v>30.862096363987359</v>
      </c>
      <c r="N17" s="52">
        <v>29.072589396944963</v>
      </c>
      <c r="O17" s="52">
        <v>27.550173595981878</v>
      </c>
      <c r="P17" s="52">
        <v>26.241774257556525</v>
      </c>
    </row>
    <row r="18" spans="1:16" x14ac:dyDescent="0.3">
      <c r="A18" s="51">
        <v>32</v>
      </c>
      <c r="B18" s="52">
        <v>303.98659475877429</v>
      </c>
      <c r="C18" s="52">
        <v>155.15388958479244</v>
      </c>
      <c r="D18" s="52">
        <v>105.58270016591258</v>
      </c>
      <c r="E18" s="52">
        <v>80.828181903504543</v>
      </c>
      <c r="F18" s="52">
        <v>66.000846236146458</v>
      </c>
      <c r="G18" s="52">
        <v>56.137728878172183</v>
      </c>
      <c r="H18" s="52">
        <v>49.111779590396758</v>
      </c>
      <c r="I18" s="52">
        <v>43.859551209856043</v>
      </c>
      <c r="J18" s="52">
        <v>39.790312731954444</v>
      </c>
      <c r="K18" s="52">
        <v>36.549671956374723</v>
      </c>
      <c r="L18" s="52">
        <v>33.912195190972817</v>
      </c>
      <c r="M18" s="52">
        <v>31.727533634379242</v>
      </c>
      <c r="N18" s="52">
        <v>29.891612234574918</v>
      </c>
      <c r="O18" s="52">
        <v>28.330080355290541</v>
      </c>
      <c r="P18" s="52">
        <v>26.988413887872568</v>
      </c>
    </row>
    <row r="19" spans="1:16" x14ac:dyDescent="0.3">
      <c r="A19" s="51">
        <v>33</v>
      </c>
      <c r="B19" s="52">
        <v>312.25991646365492</v>
      </c>
      <c r="C19" s="52">
        <v>159.38533710176077</v>
      </c>
      <c r="D19" s="52">
        <v>108.46965963331787</v>
      </c>
      <c r="E19" s="52">
        <v>83.044198599776038</v>
      </c>
      <c r="F19" s="52">
        <v>67.815615843925755</v>
      </c>
      <c r="G19" s="52">
        <v>57.686028613261499</v>
      </c>
      <c r="H19" s="52">
        <v>50.470737769119623</v>
      </c>
      <c r="I19" s="52">
        <v>45.077483922556283</v>
      </c>
      <c r="J19" s="52">
        <v>40.899509258251364</v>
      </c>
      <c r="K19" s="52">
        <v>37.572864399903281</v>
      </c>
      <c r="L19" s="52">
        <v>34.865867096305429</v>
      </c>
      <c r="M19" s="52">
        <v>32.624076710422884</v>
      </c>
      <c r="N19" s="52">
        <v>30.740558595684671</v>
      </c>
      <c r="O19" s="52">
        <v>29.138930373891718</v>
      </c>
      <c r="P19" s="52">
        <v>27.763140275938653</v>
      </c>
    </row>
    <row r="20" spans="1:16" x14ac:dyDescent="0.3">
      <c r="A20" s="51">
        <v>34</v>
      </c>
      <c r="B20" s="52">
        <v>320.75871470960465</v>
      </c>
      <c r="C20" s="52">
        <v>163.7358509311529</v>
      </c>
      <c r="D20" s="52">
        <v>111.4388067773251</v>
      </c>
      <c r="E20" s="52">
        <v>85.324357123140118</v>
      </c>
      <c r="F20" s="52">
        <v>69.683623404036823</v>
      </c>
      <c r="G20" s="52">
        <v>59.280465827153826</v>
      </c>
      <c r="H20" s="52">
        <v>51.870935500801608</v>
      </c>
      <c r="I20" s="52">
        <v>46.333117105812761</v>
      </c>
      <c r="J20" s="52">
        <v>42.043850955579735</v>
      </c>
      <c r="K20" s="52">
        <v>38.629136941687555</v>
      </c>
      <c r="L20" s="52">
        <v>35.850991595559691</v>
      </c>
      <c r="M20" s="52">
        <v>33.550741493105626</v>
      </c>
      <c r="N20" s="52">
        <v>31.618535291846587</v>
      </c>
      <c r="O20" s="52">
        <v>29.975863121691365</v>
      </c>
      <c r="P20" s="52">
        <v>28.565105777843961</v>
      </c>
    </row>
    <row r="21" spans="1:16" x14ac:dyDescent="0.3">
      <c r="A21" s="51">
        <v>35</v>
      </c>
      <c r="B21" s="52">
        <v>329.46144223479467</v>
      </c>
      <c r="C21" s="52">
        <v>168.19102689459584</v>
      </c>
      <c r="D21" s="52">
        <v>114.48071558932932</v>
      </c>
      <c r="E21" s="52">
        <v>87.661222848180174</v>
      </c>
      <c r="F21" s="52">
        <v>71.598965073843473</v>
      </c>
      <c r="G21" s="52">
        <v>60.916221816068969</v>
      </c>
      <c r="H21" s="52">
        <v>53.3083208861228</v>
      </c>
      <c r="I21" s="52">
        <v>47.623081641506431</v>
      </c>
      <c r="J21" s="52">
        <v>43.22026159453938</v>
      </c>
      <c r="K21" s="52">
        <v>39.71573607432471</v>
      </c>
      <c r="L21" s="52">
        <v>36.86504009663637</v>
      </c>
      <c r="M21" s="52">
        <v>34.505196876061611</v>
      </c>
      <c r="N21" s="52">
        <v>32.52332366365426</v>
      </c>
      <c r="O21" s="52">
        <v>30.83873787290581</v>
      </c>
      <c r="P21" s="52">
        <v>29.392247352073554</v>
      </c>
    </row>
    <row r="22" spans="1:16" x14ac:dyDescent="0.3">
      <c r="A22" s="51">
        <v>36</v>
      </c>
      <c r="B22" s="52">
        <v>338.37909218697791</v>
      </c>
      <c r="C22" s="52">
        <v>172.75913663773591</v>
      </c>
      <c r="D22" s="52">
        <v>117.60096794785953</v>
      </c>
      <c r="E22" s="52">
        <v>90.059494078082807</v>
      </c>
      <c r="F22" s="52">
        <v>73.565848524000543</v>
      </c>
      <c r="G22" s="52">
        <v>62.597140086095905</v>
      </c>
      <c r="H22" s="52">
        <v>54.786610792032214</v>
      </c>
      <c r="I22" s="52">
        <v>48.950682483117731</v>
      </c>
      <c r="J22" s="52">
        <v>44.431840377812996</v>
      </c>
      <c r="K22" s="52">
        <v>40.835548625766009</v>
      </c>
      <c r="L22" s="52">
        <v>37.910739910269285</v>
      </c>
      <c r="M22" s="52">
        <v>35.48997339202154</v>
      </c>
      <c r="N22" s="52">
        <v>33.457268438691173</v>
      </c>
      <c r="O22" s="52">
        <v>31.729754679805374</v>
      </c>
      <c r="P22" s="52">
        <v>30.246659844361616</v>
      </c>
    </row>
    <row r="23" spans="1:16" x14ac:dyDescent="0.3">
      <c r="A23" s="51">
        <v>37</v>
      </c>
      <c r="B23" s="52">
        <v>347.50099322261588</v>
      </c>
      <c r="C23" s="52">
        <v>177.43321771871877</v>
      </c>
      <c r="D23" s="52">
        <v>120.79527843084793</v>
      </c>
      <c r="E23" s="52">
        <v>92.51631834483068</v>
      </c>
      <c r="F23" s="52">
        <v>75.582230417610077</v>
      </c>
      <c r="G23" s="52">
        <v>64.321905361221937</v>
      </c>
      <c r="H23" s="52">
        <v>56.3045800354204</v>
      </c>
      <c r="I23" s="52">
        <v>50.314917703906204</v>
      </c>
      <c r="J23" s="52">
        <v>45.677698871957176</v>
      </c>
      <c r="K23" s="52">
        <v>41.987795190115662</v>
      </c>
      <c r="L23" s="52">
        <v>38.987322537020795</v>
      </c>
      <c r="M23" s="52">
        <v>36.504288569973383</v>
      </c>
      <c r="N23" s="52">
        <v>34.419592575866616</v>
      </c>
      <c r="O23" s="52">
        <v>32.648164295693093</v>
      </c>
      <c r="P23" s="52">
        <v>31.127623421387877</v>
      </c>
    </row>
    <row r="24" spans="1:16" x14ac:dyDescent="0.3">
      <c r="A24" s="51">
        <v>38</v>
      </c>
      <c r="B24" s="52">
        <v>356.83094758888484</v>
      </c>
      <c r="C24" s="52">
        <v>182.21705045453066</v>
      </c>
      <c r="D24" s="52">
        <v>124.06710424864755</v>
      </c>
      <c r="E24" s="52">
        <v>95.034804940347158</v>
      </c>
      <c r="F24" s="52">
        <v>77.651262006154383</v>
      </c>
      <c r="G24" s="52">
        <v>66.09307497355708</v>
      </c>
      <c r="H24" s="52">
        <v>57.864580159666929</v>
      </c>
      <c r="I24" s="52">
        <v>51.717907179543289</v>
      </c>
      <c r="J24" s="52">
        <v>46.959802382089656</v>
      </c>
      <c r="K24" s="52">
        <v>43.174222001604242</v>
      </c>
      <c r="L24" s="52">
        <v>40.096329708494849</v>
      </c>
      <c r="M24" s="52">
        <v>37.549537084314828</v>
      </c>
      <c r="N24" s="52">
        <v>35.411595728839586</v>
      </c>
      <c r="O24" s="52">
        <v>33.595192569480758</v>
      </c>
      <c r="P24" s="52">
        <v>32.036363810755432</v>
      </c>
    </row>
    <row r="25" spans="1:16" x14ac:dyDescent="0.3">
      <c r="A25" s="51">
        <v>39</v>
      </c>
      <c r="B25" s="52">
        <v>366.35975326057707</v>
      </c>
      <c r="C25" s="52">
        <v>187.1069954385068</v>
      </c>
      <c r="D25" s="52">
        <v>127.4144256924813</v>
      </c>
      <c r="E25" s="52">
        <v>97.614193879590786</v>
      </c>
      <c r="F25" s="52">
        <v>79.772012009274775</v>
      </c>
      <c r="G25" s="52">
        <v>67.909944276459683</v>
      </c>
      <c r="H25" s="52">
        <v>59.465971589540892</v>
      </c>
      <c r="I25" s="52">
        <v>53.159099081073073</v>
      </c>
      <c r="J25" s="52">
        <v>48.277548860931333</v>
      </c>
      <c r="K25" s="52">
        <v>44.394158562021616</v>
      </c>
      <c r="L25" s="52">
        <v>41.23706547486443</v>
      </c>
      <c r="M25" s="52">
        <v>38.625037882674725</v>
      </c>
      <c r="N25" s="52">
        <v>36.43261838795226</v>
      </c>
      <c r="O25" s="52">
        <v>34.570273174722374</v>
      </c>
      <c r="P25" s="52">
        <v>32.972382100307968</v>
      </c>
    </row>
    <row r="26" spans="1:16" x14ac:dyDescent="0.3">
      <c r="A26" s="51">
        <v>40</v>
      </c>
      <c r="B26" s="52">
        <v>376.0726081388101</v>
      </c>
      <c r="C26" s="52">
        <v>192.09598071006911</v>
      </c>
      <c r="D26" s="52">
        <v>130.83364293857812</v>
      </c>
      <c r="E26" s="52">
        <v>100.25107718681333</v>
      </c>
      <c r="F26" s="52">
        <v>81.941763203621377</v>
      </c>
      <c r="G26" s="52">
        <v>69.770128671007356</v>
      </c>
      <c r="H26" s="52">
        <v>61.106667003181201</v>
      </c>
      <c r="I26" s="52">
        <v>54.636477968728954</v>
      </c>
      <c r="J26" s="52">
        <v>49.628947480101523</v>
      </c>
      <c r="K26" s="52">
        <v>45.645674773537387</v>
      </c>
      <c r="L26" s="52">
        <v>42.407694777597207</v>
      </c>
      <c r="M26" s="52">
        <v>39.729046037010775</v>
      </c>
      <c r="N26" s="52">
        <v>37.481080588740291</v>
      </c>
      <c r="O26" s="52">
        <v>35.571950785114353</v>
      </c>
      <c r="P26" s="52">
        <v>33.9343234042828</v>
      </c>
    </row>
    <row r="27" spans="1:16" x14ac:dyDescent="0.3">
      <c r="A27" s="51">
        <v>41</v>
      </c>
      <c r="B27" s="52">
        <v>385.95400232634745</v>
      </c>
      <c r="C27" s="52">
        <v>197.17861140688504</v>
      </c>
      <c r="D27" s="52">
        <v>134.31962165279552</v>
      </c>
      <c r="E27" s="52">
        <v>102.9415753697635</v>
      </c>
      <c r="F27" s="52">
        <v>84.157207174598909</v>
      </c>
      <c r="G27" s="52">
        <v>71.670794707582473</v>
      </c>
      <c r="H27" s="52">
        <v>62.783972685988147</v>
      </c>
      <c r="I27" s="52">
        <v>56.147421017647993</v>
      </c>
      <c r="J27" s="52">
        <v>51.011487102617885</v>
      </c>
      <c r="K27" s="52">
        <v>46.926406963593564</v>
      </c>
      <c r="L27" s="52">
        <v>43.605988271818951</v>
      </c>
      <c r="M27" s="52">
        <v>40.859550820895734</v>
      </c>
      <c r="N27" s="52">
        <v>38.555135464195509</v>
      </c>
      <c r="O27" s="52">
        <v>36.598509311183975</v>
      </c>
      <c r="P27" s="52">
        <v>34.920614431647792</v>
      </c>
    </row>
    <row r="28" spans="1:16" x14ac:dyDescent="0.3">
      <c r="A28" s="51">
        <v>42</v>
      </c>
      <c r="B28" s="52">
        <v>395.97388564073083</v>
      </c>
      <c r="C28" s="52">
        <v>202.33483173547143</v>
      </c>
      <c r="D28" s="52">
        <v>137.85873396185463</v>
      </c>
      <c r="E28" s="52">
        <v>105.67498703305803</v>
      </c>
      <c r="F28" s="52">
        <v>86.409554531837443</v>
      </c>
      <c r="G28" s="52">
        <v>73.604149243007143</v>
      </c>
      <c r="H28" s="52">
        <v>64.490769999673802</v>
      </c>
      <c r="I28" s="52">
        <v>57.68539352105045</v>
      </c>
      <c r="J28" s="52">
        <v>52.419161144005351</v>
      </c>
      <c r="K28" s="52">
        <v>48.230786385695616</v>
      </c>
      <c r="L28" s="52">
        <v>44.826863637474986</v>
      </c>
      <c r="M28" s="52">
        <v>42.011846497090282</v>
      </c>
      <c r="N28" s="52">
        <v>39.650381891748829</v>
      </c>
      <c r="O28" s="52">
        <v>37.645841283539447</v>
      </c>
      <c r="P28" s="52">
        <v>35.927363000894559</v>
      </c>
    </row>
    <row r="29" spans="1:16" x14ac:dyDescent="0.3">
      <c r="A29" s="51">
        <v>43</v>
      </c>
      <c r="B29" s="52">
        <v>406.13744302778474</v>
      </c>
      <c r="C29" s="52">
        <v>207.56983426500392</v>
      </c>
      <c r="D29" s="52">
        <v>141.45460923192087</v>
      </c>
      <c r="E29" s="52">
        <v>108.45426854067385</v>
      </c>
      <c r="F29" s="52">
        <v>88.700891244217715</v>
      </c>
      <c r="G29" s="52">
        <v>75.571644618124907</v>
      </c>
      <c r="H29" s="52">
        <v>66.228166127246794</v>
      </c>
      <c r="I29" s="52">
        <v>59.251340174529574</v>
      </c>
      <c r="J29" s="52">
        <v>53.8528069995251</v>
      </c>
      <c r="K29" s="52">
        <v>49.55972402816478</v>
      </c>
      <c r="L29" s="52">
        <v>46.071256079946608</v>
      </c>
      <c r="M29" s="52">
        <v>43.186872288700371</v>
      </c>
      <c r="N29" s="52">
        <v>40.767802666300256</v>
      </c>
      <c r="O29" s="52">
        <v>38.714922147161182</v>
      </c>
      <c r="P29" s="52">
        <v>36.955544728228695</v>
      </c>
    </row>
    <row r="30" spans="1:16" x14ac:dyDescent="0.3">
      <c r="A30" s="51">
        <v>44</v>
      </c>
      <c r="B30" s="52">
        <v>416.43500879375614</v>
      </c>
      <c r="C30" s="52">
        <v>212.87754140277443</v>
      </c>
      <c r="D30" s="52">
        <v>145.10309059062257</v>
      </c>
      <c r="E30" s="52">
        <v>111.27555610014319</v>
      </c>
      <c r="F30" s="52">
        <v>91.027521213964164</v>
      </c>
      <c r="G30" s="52">
        <v>77.569877398162504</v>
      </c>
      <c r="H30" s="52">
        <v>67.993104368303335</v>
      </c>
      <c r="I30" s="52">
        <v>60.842489508956703</v>
      </c>
      <c r="J30" s="52">
        <v>55.310075410250178</v>
      </c>
      <c r="K30" s="52">
        <v>50.911158949941914</v>
      </c>
      <c r="L30" s="52">
        <v>47.337317783599801</v>
      </c>
      <c r="M30" s="52">
        <v>44.383003933385091</v>
      </c>
      <c r="N30" s="52">
        <v>41.905906989868654</v>
      </c>
      <c r="O30" s="52">
        <v>39.804381438302613</v>
      </c>
      <c r="P30" s="52">
        <v>38.004298020148575</v>
      </c>
    </row>
    <row r="31" spans="1:16" x14ac:dyDescent="0.3">
      <c r="A31" s="51">
        <v>45</v>
      </c>
      <c r="B31" s="52">
        <v>426.86646210174445</v>
      </c>
      <c r="C31" s="52">
        <v>218.25844505588</v>
      </c>
      <c r="D31" s="52">
        <v>148.80341960675628</v>
      </c>
      <c r="E31" s="52">
        <v>114.13752255545288</v>
      </c>
      <c r="F31" s="52">
        <v>93.388066116021633</v>
      </c>
      <c r="G31" s="52">
        <v>79.597625022635313</v>
      </c>
      <c r="H31" s="52">
        <v>69.784500088234466</v>
      </c>
      <c r="I31" s="52">
        <v>62.458115292746001</v>
      </c>
      <c r="J31" s="52">
        <v>56.790448564675408</v>
      </c>
      <c r="K31" s="52">
        <v>52.284708347044116</v>
      </c>
      <c r="L31" s="52">
        <v>48.624830715221712</v>
      </c>
      <c r="M31" s="52">
        <v>45.600092174222304</v>
      </c>
      <c r="N31" s="52">
        <v>43.064610649993327</v>
      </c>
      <c r="O31" s="52">
        <v>40.914666461418591</v>
      </c>
      <c r="P31" s="52">
        <v>39.074317702278513</v>
      </c>
    </row>
    <row r="32" spans="1:16" x14ac:dyDescent="0.3">
      <c r="A32" s="51">
        <v>46</v>
      </c>
      <c r="B32" s="52">
        <v>437.43031475059439</v>
      </c>
      <c r="C32" s="52">
        <v>223.70897393893347</v>
      </c>
      <c r="D32" s="52">
        <v>152.5519266951145</v>
      </c>
      <c r="E32" s="52">
        <v>117.03699408017182</v>
      </c>
      <c r="F32" s="52">
        <v>95.779925014623416</v>
      </c>
      <c r="G32" s="52">
        <v>81.652690749734745</v>
      </c>
      <c r="H32" s="52">
        <v>71.600776692566043</v>
      </c>
      <c r="I32" s="52">
        <v>64.097000731080755</v>
      </c>
      <c r="J32" s="52">
        <v>58.292942843813591</v>
      </c>
      <c r="K32" s="52">
        <v>53.679638783001884</v>
      </c>
      <c r="L32" s="52">
        <v>49.933179220396909</v>
      </c>
      <c r="M32" s="52">
        <v>46.837626333778374</v>
      </c>
      <c r="N32" s="52">
        <v>44.244055520854495</v>
      </c>
      <c r="O32" s="52">
        <v>42.046221566588002</v>
      </c>
      <c r="P32" s="52">
        <v>40.166566090362508</v>
      </c>
    </row>
    <row r="33" spans="1:16" x14ac:dyDescent="0.3">
      <c r="A33" s="51">
        <v>47</v>
      </c>
      <c r="B33" s="52">
        <v>448.14308230942345</v>
      </c>
      <c r="C33" s="52">
        <v>229.23621860682863</v>
      </c>
      <c r="D33" s="52">
        <v>156.35335235213975</v>
      </c>
      <c r="E33" s="52">
        <v>119.97784928922562</v>
      </c>
      <c r="F33" s="52">
        <v>98.206426042135348</v>
      </c>
      <c r="G33" s="52">
        <v>83.738468970227061</v>
      </c>
      <c r="H33" s="52">
        <v>73.445207176864102</v>
      </c>
      <c r="I33" s="52">
        <v>65.762256925902847</v>
      </c>
      <c r="J33" s="52">
        <v>59.820619736512747</v>
      </c>
      <c r="K33" s="52">
        <v>55.098861330213417</v>
      </c>
      <c r="L33" s="52">
        <v>51.265159780462703</v>
      </c>
      <c r="M33" s="52">
        <v>48.098984893186916</v>
      </c>
      <c r="N33" s="52">
        <v>45.447801254018849</v>
      </c>
      <c r="O33" s="52">
        <v>43.203061246100305</v>
      </c>
      <c r="P33" s="52">
        <v>41.284982572901427</v>
      </c>
    </row>
    <row r="34" spans="1:16" x14ac:dyDescent="0.3">
      <c r="A34" s="51">
        <v>48</v>
      </c>
      <c r="B34" s="52">
        <v>459.02947193546487</v>
      </c>
      <c r="C34" s="52">
        <v>234.85332047648913</v>
      </c>
      <c r="D34" s="52">
        <v>160.21728431857602</v>
      </c>
      <c r="E34" s="52">
        <v>122.96774453372663</v>
      </c>
      <c r="F34" s="52">
        <v>100.67467546078973</v>
      </c>
      <c r="G34" s="52">
        <v>85.861424627552722</v>
      </c>
      <c r="H34" s="52">
        <v>75.323693200105183</v>
      </c>
      <c r="I34" s="52">
        <v>67.459459044992954</v>
      </c>
      <c r="J34" s="52">
        <v>61.378657552260144</v>
      </c>
      <c r="K34" s="52">
        <v>56.547248198444947</v>
      </c>
      <c r="L34" s="52">
        <v>52.62621944767826</v>
      </c>
      <c r="M34" s="52">
        <v>49.389710835576494</v>
      </c>
      <c r="N34" s="52">
        <v>46.681825456176014</v>
      </c>
      <c r="O34" s="52">
        <v>44.390979828112719</v>
      </c>
      <c r="P34" s="52">
        <v>42.435673727585261</v>
      </c>
    </row>
    <row r="35" spans="1:16" x14ac:dyDescent="0.3">
      <c r="A35" s="51">
        <v>49</v>
      </c>
      <c r="B35" s="52">
        <v>470.11187714527858</v>
      </c>
      <c r="C35" s="52">
        <v>240.57291152937142</v>
      </c>
      <c r="D35" s="52">
        <v>164.15271729944772</v>
      </c>
      <c r="E35" s="52">
        <v>126.01483236593972</v>
      </c>
      <c r="F35" s="52">
        <v>103.19185696567078</v>
      </c>
      <c r="G35" s="52">
        <v>88.027942900491496</v>
      </c>
      <c r="H35" s="52">
        <v>77.242179406729875</v>
      </c>
      <c r="I35" s="52">
        <v>69.1940340856044</v>
      </c>
      <c r="J35" s="52">
        <v>62.972097539603681</v>
      </c>
      <c r="K35" s="52">
        <v>58.030553977739473</v>
      </c>
      <c r="L35" s="52">
        <v>54.022216223993723</v>
      </c>
      <c r="M35" s="52">
        <v>50.716169084845262</v>
      </c>
      <c r="N35" s="52">
        <v>47.952255645623488</v>
      </c>
      <c r="O35" s="52">
        <v>45.616456336905813</v>
      </c>
      <c r="P35" s="52">
        <v>43.624979726588201</v>
      </c>
    </row>
    <row r="36" spans="1:16" x14ac:dyDescent="0.3">
      <c r="A36" s="51">
        <v>50</v>
      </c>
      <c r="B36" s="52">
        <v>481.40742913552583</v>
      </c>
      <c r="C36" s="52">
        <v>246.40400881720373</v>
      </c>
      <c r="D36" s="52">
        <v>168.1678613192235</v>
      </c>
      <c r="E36" s="52">
        <v>129.12603796340653</v>
      </c>
      <c r="F36" s="52">
        <v>105.76390156255994</v>
      </c>
      <c r="G36" s="52">
        <v>90.243482589165978</v>
      </c>
      <c r="H36" s="52">
        <v>79.205536032632935</v>
      </c>
      <c r="I36" s="52">
        <v>70.970438248776077</v>
      </c>
      <c r="J36" s="52">
        <v>64.606365413469518</v>
      </c>
      <c r="K36" s="52">
        <v>59.554365059748129</v>
      </c>
      <c r="L36" s="52">
        <v>55.459374902178055</v>
      </c>
      <c r="M36" s="52">
        <v>52.084307025971128</v>
      </c>
      <c r="N36" s="52">
        <v>49.265464910761814</v>
      </c>
      <c r="O36" s="52">
        <v>46.885703141230344</v>
      </c>
      <c r="P36" s="52">
        <v>44.85897852822908</v>
      </c>
    </row>
    <row r="37" spans="1:16" x14ac:dyDescent="0.3">
      <c r="A37" s="51">
        <v>51</v>
      </c>
      <c r="B37" s="52">
        <v>492.93324624011728</v>
      </c>
      <c r="C37" s="52">
        <v>252.35996100577393</v>
      </c>
      <c r="D37" s="52">
        <v>172.27256783793442</v>
      </c>
      <c r="E37" s="52">
        <v>132.30913763922064</v>
      </c>
      <c r="F37" s="52">
        <v>108.39765254578991</v>
      </c>
      <c r="G37" s="52">
        <v>92.513916607916315</v>
      </c>
      <c r="H37" s="52">
        <v>81.218991854982193</v>
      </c>
      <c r="I37" s="52">
        <v>72.795092379516873</v>
      </c>
      <c r="J37" s="52">
        <v>66.288001597662713</v>
      </c>
      <c r="K37" s="52">
        <v>61.125938448042902</v>
      </c>
      <c r="L37" s="52">
        <v>56.944541400407005</v>
      </c>
      <c r="M37" s="52">
        <v>53.501424706188246</v>
      </c>
      <c r="N37" s="52">
        <v>50.628508769204963</v>
      </c>
      <c r="O37" s="52">
        <v>48.205574075515791</v>
      </c>
      <c r="P37" s="52">
        <v>46.144886535952011</v>
      </c>
    </row>
    <row r="38" spans="1:16" x14ac:dyDescent="0.3">
      <c r="A38" s="51">
        <v>52</v>
      </c>
      <c r="B38" s="52">
        <v>504.68657126080717</v>
      </c>
      <c r="C38" s="52">
        <v>258.43863360153341</v>
      </c>
      <c r="D38" s="52">
        <v>176.46506994097294</v>
      </c>
      <c r="E38" s="52">
        <v>135.56323629096877</v>
      </c>
      <c r="F38" s="52">
        <v>111.09225203078509</v>
      </c>
      <c r="G38" s="52">
        <v>94.838511542780921</v>
      </c>
      <c r="H38" s="52">
        <v>83.284146840207413</v>
      </c>
      <c r="I38" s="52">
        <v>74.67024742342555</v>
      </c>
      <c r="J38" s="52">
        <v>68.020535228908159</v>
      </c>
      <c r="K38" s="52">
        <v>62.748570924562991</v>
      </c>
      <c r="L38" s="52">
        <v>58.481794749760937</v>
      </c>
      <c r="M38" s="52">
        <v>54.971487779935273</v>
      </c>
      <c r="N38" s="52">
        <v>52.045266000762524</v>
      </c>
      <c r="O38" s="52">
        <v>49.580504277271082</v>
      </c>
      <c r="P38" s="52">
        <v>47.487106657243061</v>
      </c>
    </row>
    <row r="39" spans="1:16" x14ac:dyDescent="0.3">
      <c r="A39" s="51">
        <v>53</v>
      </c>
      <c r="B39" s="52">
        <v>516.67095958887387</v>
      </c>
      <c r="C39" s="52">
        <v>264.64150605899948</v>
      </c>
      <c r="D39" s="52">
        <v>180.74734896384743</v>
      </c>
      <c r="E39" s="52">
        <v>138.88966697533309</v>
      </c>
      <c r="F39" s="52">
        <v>113.84880048609737</v>
      </c>
      <c r="G39" s="52">
        <v>97.221327726625475</v>
      </c>
      <c r="H39" s="52">
        <v>85.405602499014918</v>
      </c>
      <c r="I39" s="52">
        <v>76.601889951201528</v>
      </c>
      <c r="J39" s="52">
        <v>69.809416242363525</v>
      </c>
      <c r="K39" s="52">
        <v>64.428494464069445</v>
      </c>
      <c r="L39" s="52">
        <v>60.077064897798408</v>
      </c>
      <c r="M39" s="52">
        <v>56.500189875492254</v>
      </c>
      <c r="N39" s="52">
        <v>53.521982936540809</v>
      </c>
      <c r="O39" s="52">
        <v>51.016606002289336</v>
      </c>
      <c r="P39" s="52">
        <v>48.891803382429565</v>
      </c>
    </row>
    <row r="40" spans="1:16" x14ac:dyDescent="0.3">
      <c r="A40" s="51">
        <v>54</v>
      </c>
      <c r="B40" s="52">
        <v>528.89419281159792</v>
      </c>
      <c r="C40" s="52">
        <v>270.97496037476782</v>
      </c>
      <c r="D40" s="52">
        <v>185.12328797578664</v>
      </c>
      <c r="E40" s="52">
        <v>142.2913898435518</v>
      </c>
      <c r="F40" s="52">
        <v>116.67428793555396</v>
      </c>
      <c r="G40" s="52">
        <v>99.669652576518928</v>
      </c>
      <c r="H40" s="52">
        <v>87.59214076807001</v>
      </c>
      <c r="I40" s="52">
        <v>78.597790674368909</v>
      </c>
      <c r="J40" s="52">
        <v>71.663174910604724</v>
      </c>
      <c r="K40" s="52">
        <v>66.173668044207673</v>
      </c>
      <c r="L40" s="52">
        <v>61.737870158966672</v>
      </c>
      <c r="M40" s="52">
        <v>58.095592051990259</v>
      </c>
      <c r="N40" s="52">
        <v>55.066454171589413</v>
      </c>
      <c r="O40" s="52">
        <v>52.521647370164281</v>
      </c>
      <c r="P40" s="52">
        <v>50.36609768064978</v>
      </c>
    </row>
    <row r="41" spans="1:16" x14ac:dyDescent="0.3">
      <c r="A41" s="51">
        <v>55</v>
      </c>
      <c r="B41" s="52">
        <v>541.35692980156296</v>
      </c>
      <c r="C41" s="52">
        <v>277.43696878886152</v>
      </c>
      <c r="D41" s="52">
        <v>189.59123964037909</v>
      </c>
      <c r="E41" s="52">
        <v>145.77431769760446</v>
      </c>
      <c r="F41" s="52">
        <v>119.57521216688487</v>
      </c>
      <c r="G41" s="52">
        <v>102.19213111290408</v>
      </c>
      <c r="H41" s="52">
        <v>89.851025768581664</v>
      </c>
      <c r="I41" s="52">
        <v>80.666212959126412</v>
      </c>
      <c r="J41" s="52">
        <v>73.589344041743701</v>
      </c>
      <c r="K41" s="52">
        <v>67.991085612996443</v>
      </c>
      <c r="L41" s="52">
        <v>63.471879146711466</v>
      </c>
      <c r="M41" s="52">
        <v>59.765045890873552</v>
      </c>
      <c r="N41" s="52">
        <v>56.686006131758404</v>
      </c>
      <c r="O41" s="52">
        <v>54.10219881024755</v>
      </c>
      <c r="P41" s="52">
        <v>51.916689412655316</v>
      </c>
    </row>
    <row r="42" spans="1:16" x14ac:dyDescent="0.3">
      <c r="A42" s="53">
        <v>56</v>
      </c>
      <c r="B42" s="52">
        <v>554.07248869445573</v>
      </c>
      <c r="C42" s="52">
        <v>284.03499201019446</v>
      </c>
      <c r="D42" s="52">
        <v>194.16963235930214</v>
      </c>
      <c r="E42" s="52">
        <v>149.35474965822846</v>
      </c>
      <c r="F42" s="52">
        <v>122.56915867171607</v>
      </c>
      <c r="G42" s="52">
        <v>104.80303874643779</v>
      </c>
      <c r="H42" s="52">
        <v>92.196965137446981</v>
      </c>
      <c r="I42" s="52">
        <v>82.820215830163264</v>
      </c>
      <c r="J42" s="52">
        <v>75.59978696092513</v>
      </c>
      <c r="K42" s="52">
        <v>69.893053398874471</v>
      </c>
      <c r="L42" s="52">
        <v>65.290685077222406</v>
      </c>
      <c r="M42" s="52">
        <v>61.519853259702117</v>
      </c>
      <c r="N42" s="52">
        <v>58.390827035677333</v>
      </c>
      <c r="O42" s="52">
        <v>55.768429664319015</v>
      </c>
      <c r="P42" s="54"/>
    </row>
    <row r="43" spans="1:16" x14ac:dyDescent="0.3">
      <c r="A43" s="53">
        <v>57</v>
      </c>
      <c r="B43" s="52">
        <v>567.05443317447032</v>
      </c>
      <c r="C43" s="52">
        <v>290.80618080427291</v>
      </c>
      <c r="D43" s="52">
        <v>198.88532144699187</v>
      </c>
      <c r="E43" s="52">
        <v>153.05895185883651</v>
      </c>
      <c r="F43" s="52">
        <v>125.67581727027228</v>
      </c>
      <c r="G43" s="52">
        <v>107.52180412551647</v>
      </c>
      <c r="H43" s="52">
        <v>94.646556394904437</v>
      </c>
      <c r="I43" s="52">
        <v>85.074448397343289</v>
      </c>
      <c r="J43" s="52">
        <v>77.709439598282955</v>
      </c>
      <c r="K43" s="52">
        <v>71.893399982436662</v>
      </c>
      <c r="L43" s="52">
        <v>67.207594866068746</v>
      </c>
      <c r="M43" s="52">
        <v>63.371850323583764</v>
      </c>
      <c r="N43" s="52">
        <v>60.192635747639201</v>
      </c>
      <c r="O43" s="55">
        <v>57.532005489114546</v>
      </c>
      <c r="P43" s="55">
        <v>55.289086558815512</v>
      </c>
    </row>
    <row r="44" spans="1:16" x14ac:dyDescent="0.3">
      <c r="A44" s="53">
        <v>58</v>
      </c>
      <c r="B44" s="52">
        <v>580.21185224162502</v>
      </c>
      <c r="C44" s="52">
        <v>297.69124937567841</v>
      </c>
      <c r="D44" s="52">
        <v>203.70390224486741</v>
      </c>
      <c r="E44" s="52">
        <v>156.85537650064731</v>
      </c>
      <c r="F44" s="52">
        <v>128.8721101894472</v>
      </c>
      <c r="G44" s="52">
        <v>110.32731442469688</v>
      </c>
      <c r="H44" s="52">
        <v>97.180425010654758</v>
      </c>
      <c r="I44" s="52">
        <v>87.413203791113659</v>
      </c>
      <c r="J44" s="52">
        <v>79.903717672343404</v>
      </c>
      <c r="K44" s="52">
        <v>73.978904595920895</v>
      </c>
      <c r="L44" s="52">
        <v>69.209215951841884</v>
      </c>
      <c r="M44" s="52">
        <v>65.308844746863471</v>
      </c>
      <c r="N44" s="52">
        <v>62.080282011182781</v>
      </c>
      <c r="O44" s="52">
        <v>59.382792446725681</v>
      </c>
      <c r="P44" s="52">
        <v>57.113411334612671</v>
      </c>
    </row>
    <row r="45" spans="1:16" x14ac:dyDescent="0.3">
      <c r="A45" s="53">
        <v>59</v>
      </c>
      <c r="B45" s="52">
        <v>593.50930452846353</v>
      </c>
      <c r="C45" s="52">
        <v>304.69261073562353</v>
      </c>
      <c r="D45" s="52">
        <v>208.61822735113333</v>
      </c>
      <c r="E45" s="52">
        <v>160.74358685764383</v>
      </c>
      <c r="F45" s="52">
        <v>132.15578546618369</v>
      </c>
      <c r="G45" s="52">
        <v>113.2166480582043</v>
      </c>
      <c r="H45" s="52">
        <v>99.798353073089572</v>
      </c>
      <c r="I45" s="52">
        <v>89.835993824638635</v>
      </c>
      <c r="J45" s="52">
        <v>82.182527510457078</v>
      </c>
      <c r="K45" s="52">
        <v>76.1482001757756</v>
      </c>
      <c r="L45" s="52">
        <v>71.294807033444215</v>
      </c>
      <c r="M45" s="52">
        <v>67.330654846316833</v>
      </c>
      <c r="N45" s="52">
        <v>64.054212393495703</v>
      </c>
      <c r="O45" s="52">
        <v>61.321811506426087</v>
      </c>
      <c r="P45" s="52">
        <v>59.028227315782317</v>
      </c>
    </row>
    <row r="46" spans="1:16" x14ac:dyDescent="0.3">
      <c r="A46" s="53">
        <v>60</v>
      </c>
      <c r="B46" s="52">
        <v>606.85236793653041</v>
      </c>
      <c r="C46" s="52">
        <v>311.73058733233165</v>
      </c>
      <c r="D46" s="52">
        <v>213.58177952715045</v>
      </c>
      <c r="E46" s="52">
        <v>164.683760778645</v>
      </c>
      <c r="F46" s="52">
        <v>135.49220877952325</v>
      </c>
      <c r="G46" s="52">
        <v>116.16314804266696</v>
      </c>
      <c r="H46" s="52">
        <v>102.47619861979449</v>
      </c>
      <c r="I46" s="52">
        <v>92.321348684971767</v>
      </c>
      <c r="J46" s="52">
        <v>84.524445458796521</v>
      </c>
      <c r="K46" s="52">
        <v>78.381973572454683</v>
      </c>
      <c r="L46" s="52">
        <v>73.446796726190257</v>
      </c>
      <c r="M46" s="52">
        <v>69.421317491255721</v>
      </c>
      <c r="N46" s="52">
        <v>66.099838062278664</v>
      </c>
      <c r="O46" s="52">
        <v>63.335582501867314</v>
      </c>
      <c r="P46" s="52">
        <v>61.021075803416679</v>
      </c>
    </row>
    <row r="47" spans="1:16" x14ac:dyDescent="0.3">
      <c r="A47" s="53">
        <v>61</v>
      </c>
      <c r="B47" s="52">
        <v>620.25614147064766</v>
      </c>
      <c r="C47" s="52">
        <v>318.84762056464081</v>
      </c>
      <c r="D47" s="52">
        <v>218.61875535814508</v>
      </c>
      <c r="E47" s="52">
        <v>168.69278689615203</v>
      </c>
      <c r="F47" s="52">
        <v>138.90041818866834</v>
      </c>
      <c r="G47" s="52">
        <v>119.18255144057468</v>
      </c>
      <c r="H47" s="52">
        <v>105.22841051313578</v>
      </c>
      <c r="I47" s="52">
        <v>94.88012585816135</v>
      </c>
      <c r="J47" s="52">
        <v>86.940226317338386</v>
      </c>
      <c r="K47" s="52">
        <v>80.690930851497598</v>
      </c>
      <c r="L47" s="52">
        <v>75.67606460433106</v>
      </c>
      <c r="M47" s="52">
        <v>71.591897711710303</v>
      </c>
      <c r="N47" s="52">
        <v>68.228326511739098</v>
      </c>
      <c r="O47" s="52">
        <v>65.435463418191787</v>
      </c>
      <c r="P47" s="52">
        <v>63.103646026942485</v>
      </c>
    </row>
    <row r="48" spans="1:16" x14ac:dyDescent="0.3">
      <c r="A48" s="53">
        <v>62</v>
      </c>
      <c r="B48" s="52">
        <v>633.63683219468362</v>
      </c>
      <c r="C48" s="52">
        <v>325.97097134980322</v>
      </c>
      <c r="D48" s="52">
        <v>223.67253475763874</v>
      </c>
      <c r="E48" s="52">
        <v>172.73383587921705</v>
      </c>
      <c r="F48" s="52">
        <v>142.34823481681374</v>
      </c>
      <c r="G48" s="52">
        <v>122.24743196521973</v>
      </c>
      <c r="H48" s="52">
        <v>108.02746018805567</v>
      </c>
      <c r="I48" s="52">
        <v>97.488269874607639</v>
      </c>
      <c r="J48" s="52">
        <v>89.408507349074227</v>
      </c>
      <c r="K48" s="52">
        <v>83.056078848165882</v>
      </c>
      <c r="L48" s="52">
        <v>77.96555566752852</v>
      </c>
      <c r="M48" s="52">
        <v>73.826841811837483</v>
      </c>
      <c r="N48" s="52">
        <v>70.425471008245211</v>
      </c>
      <c r="O48" s="52">
        <v>67.608552824304709</v>
      </c>
      <c r="P48" s="52">
        <v>65.264358676412698</v>
      </c>
    </row>
    <row r="49" spans="1:16" x14ac:dyDescent="0.3">
      <c r="A49" s="53">
        <v>63</v>
      </c>
      <c r="B49" s="52">
        <v>647.00627906534589</v>
      </c>
      <c r="C49" s="52">
        <v>333.10675687538912</v>
      </c>
      <c r="D49" s="52">
        <v>228.76440228267819</v>
      </c>
      <c r="E49" s="52">
        <v>176.8215929752923</v>
      </c>
      <c r="F49" s="52">
        <v>145.84871599298933</v>
      </c>
      <c r="G49" s="52">
        <v>125.36478987045162</v>
      </c>
      <c r="H49" s="52">
        <v>110.88088195736128</v>
      </c>
      <c r="I49" s="52">
        <v>100.15366760256595</v>
      </c>
      <c r="J49" s="52">
        <v>91.937716285815569</v>
      </c>
      <c r="K49" s="52">
        <v>85.486283956779943</v>
      </c>
      <c r="L49" s="52">
        <v>80.32437405754392</v>
      </c>
      <c r="M49" s="52">
        <v>76.13557008499528</v>
      </c>
      <c r="N49" s="52">
        <v>72.701167565104939</v>
      </c>
      <c r="O49" s="52">
        <v>69.865409918516846</v>
      </c>
      <c r="P49" s="52">
        <v>67.514538716594672</v>
      </c>
    </row>
    <row r="50" spans="1:16" x14ac:dyDescent="0.3">
      <c r="A50" s="53">
        <v>64</v>
      </c>
      <c r="B50" s="52">
        <v>660.38000119820049</v>
      </c>
      <c r="C50" s="52">
        <v>340.30190995218743</v>
      </c>
      <c r="D50" s="52">
        <v>233.92038685582932</v>
      </c>
      <c r="E50" s="52">
        <v>180.97666293428583</v>
      </c>
      <c r="F50" s="52">
        <v>149.41211204450875</v>
      </c>
      <c r="G50" s="52">
        <v>128.5451241808799</v>
      </c>
      <c r="H50" s="52">
        <v>113.79925784004558</v>
      </c>
      <c r="I50" s="52">
        <v>102.8872946350692</v>
      </c>
      <c r="J50" s="52">
        <v>94.539129082341304</v>
      </c>
      <c r="K50" s="52">
        <v>87.992905682590433</v>
      </c>
      <c r="L50" s="52">
        <v>82.764090802668917</v>
      </c>
      <c r="M50" s="52">
        <v>78.530079953287824</v>
      </c>
      <c r="N50" s="52">
        <v>75.068077749201606</v>
      </c>
      <c r="O50" s="52">
        <v>72.219490122490527</v>
      </c>
      <c r="P50" s="52">
        <v>69.868386369522284</v>
      </c>
    </row>
    <row r="51" spans="1:16" x14ac:dyDescent="0.3">
      <c r="A51" s="53">
        <v>65</v>
      </c>
      <c r="B51" s="52">
        <v>673.67787576508078</v>
      </c>
      <c r="C51" s="52">
        <v>347.48012763463902</v>
      </c>
      <c r="D51" s="52">
        <v>239.08499302593094</v>
      </c>
      <c r="E51" s="52">
        <v>185.14369884416686</v>
      </c>
      <c r="F51" s="52">
        <v>152.99462415033616</v>
      </c>
      <c r="G51" s="52">
        <v>131.75208605727374</v>
      </c>
      <c r="H51" s="52">
        <v>116.75191378477346</v>
      </c>
      <c r="I51" s="52">
        <v>105.66263691638402</v>
      </c>
      <c r="J51" s="52">
        <v>97.189192427036531</v>
      </c>
      <c r="K51" s="52">
        <v>90.554869697304213</v>
      </c>
      <c r="L51" s="52">
        <v>85.265898842680443</v>
      </c>
      <c r="M51" s="52">
        <v>80.993752829425759</v>
      </c>
      <c r="N51" s="52">
        <v>77.511636221546965</v>
      </c>
      <c r="O51" s="52">
        <v>74.657990291333576</v>
      </c>
      <c r="P51" s="52">
        <v>72.314946839861605</v>
      </c>
    </row>
    <row r="52" spans="1:16" x14ac:dyDescent="0.3">
      <c r="A52" s="53">
        <v>66</v>
      </c>
      <c r="B52" s="52">
        <v>686.91726039520302</v>
      </c>
      <c r="C52" s="52">
        <v>354.6616254799323</v>
      </c>
      <c r="D52" s="52">
        <v>244.25440545508354</v>
      </c>
      <c r="E52" s="52">
        <v>189.3256406069645</v>
      </c>
      <c r="F52" s="52">
        <v>156.60195633875676</v>
      </c>
      <c r="G52" s="52">
        <v>134.99338149782005</v>
      </c>
      <c r="H52" s="52">
        <v>119.74771000709339</v>
      </c>
      <c r="I52" s="52">
        <v>108.48901411892054</v>
      </c>
      <c r="J52" s="52">
        <v>99.897722271063927</v>
      </c>
      <c r="K52" s="52">
        <v>93.182702335848646</v>
      </c>
      <c r="L52" s="52">
        <v>87.841296256544993</v>
      </c>
      <c r="M52" s="52">
        <v>83.53917018879271</v>
      </c>
      <c r="N52" s="52">
        <v>80.045380320860147</v>
      </c>
      <c r="O52" s="52">
        <v>77.195688851156035</v>
      </c>
      <c r="P52" s="52">
        <v>74.8707544828642</v>
      </c>
    </row>
    <row r="53" spans="1:16" x14ac:dyDescent="0.3">
      <c r="A53" s="53">
        <v>67</v>
      </c>
      <c r="B53" s="52">
        <v>700.0931886503181</v>
      </c>
      <c r="C53" s="52">
        <v>361.79731498386883</v>
      </c>
      <c r="D53" s="52">
        <v>249.40704476781474</v>
      </c>
      <c r="E53" s="52">
        <v>193.51099245479855</v>
      </c>
      <c r="F53" s="52">
        <v>160.22848938533801</v>
      </c>
      <c r="G53" s="52">
        <v>138.26673491007347</v>
      </c>
      <c r="H53" s="52">
        <v>122.78612859919822</v>
      </c>
      <c r="I53" s="52">
        <v>111.36736346027452</v>
      </c>
      <c r="J53" s="52">
        <v>102.66714741882249</v>
      </c>
      <c r="K53" s="52">
        <v>95.880474956491184</v>
      </c>
      <c r="L53" s="52">
        <v>90.495998806548442</v>
      </c>
      <c r="M53" s="52">
        <v>86.173435828378629</v>
      </c>
      <c r="N53" s="52">
        <v>82.678067122493729</v>
      </c>
      <c r="O53" s="52">
        <v>79.843541061378687</v>
      </c>
      <c r="P53" s="52">
        <v>77.54915728514159</v>
      </c>
    </row>
    <row r="54" spans="1:16" x14ac:dyDescent="0.3">
      <c r="A54" s="53">
        <v>68</v>
      </c>
      <c r="B54" s="52">
        <v>713.3096261245754</v>
      </c>
      <c r="C54" s="52">
        <v>368.99347505954142</v>
      </c>
      <c r="D54" s="52">
        <v>254.62929877490774</v>
      </c>
      <c r="E54" s="52">
        <v>197.7740297900551</v>
      </c>
      <c r="F54" s="52">
        <v>163.93989156263345</v>
      </c>
      <c r="G54" s="52">
        <v>141.63110109202213</v>
      </c>
      <c r="H54" s="52">
        <v>125.92154514752963</v>
      </c>
      <c r="I54" s="52">
        <v>114.34915014412539</v>
      </c>
      <c r="J54" s="52">
        <v>105.54730213537671</v>
      </c>
      <c r="K54" s="52">
        <v>98.697158517352008</v>
      </c>
      <c r="L54" s="52">
        <v>93.278368499786666</v>
      </c>
      <c r="M54" s="52">
        <v>88.945065559152638</v>
      </c>
      <c r="N54" s="52">
        <v>85.459360959386274</v>
      </c>
      <c r="O54" s="52">
        <v>82.652862218592261</v>
      </c>
      <c r="P54" s="52">
        <v>80.403117476735616</v>
      </c>
    </row>
    <row r="55" spans="1:16" x14ac:dyDescent="0.3">
      <c r="A55" s="53">
        <v>69</v>
      </c>
      <c r="B55" s="52">
        <v>726.55766649916336</v>
      </c>
      <c r="C55" s="55">
        <v>376.24756409399242</v>
      </c>
      <c r="D55" s="55">
        <v>259.92362497936898</v>
      </c>
      <c r="E55" s="55">
        <v>202.11910852409864</v>
      </c>
      <c r="F55" s="55">
        <v>167.74077293107533</v>
      </c>
      <c r="G55" s="55">
        <v>145.09178781877284</v>
      </c>
      <c r="H55" s="55">
        <v>129.16051587709856</v>
      </c>
      <c r="I55" s="55">
        <v>117.44265447742144</v>
      </c>
      <c r="J55" s="55">
        <v>108.54829753541311</v>
      </c>
      <c r="K55" s="55">
        <v>101.64436986510776</v>
      </c>
      <c r="L55" s="55">
        <v>96.201981497829792</v>
      </c>
      <c r="M55" s="55">
        <v>91.870411105066822</v>
      </c>
      <c r="N55" s="55">
        <v>88.408669595071572</v>
      </c>
      <c r="O55" s="55">
        <v>85.645850976416952</v>
      </c>
      <c r="P55" s="55">
        <v>83.456951020237597</v>
      </c>
    </row>
  </sheetData>
  <mergeCells count="2">
    <mergeCell ref="A1:P1"/>
    <mergeCell ref="B2:P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SERENITE</vt:lpstr>
      <vt:lpstr>SERENITE Capital</vt:lpstr>
      <vt:lpstr>CIMA H</vt:lpstr>
      <vt:lpstr>TARIF - Pour 1000F de prime M</vt:lpstr>
      <vt:lpstr>TARIF M - Pour 1000F de capital</vt:lpstr>
      <vt:lpstr>TARIF A - Pour 1000F de capital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Kiswendsida G. Telesphore KABORE</dc:creator>
  <cp:lastModifiedBy>Rebecca Kore</cp:lastModifiedBy>
  <dcterms:created xsi:type="dcterms:W3CDTF">2022-11-04T19:40:52Z</dcterms:created>
  <dcterms:modified xsi:type="dcterms:W3CDTF">2025-07-31T13:39:55Z</dcterms:modified>
</cp:coreProperties>
</file>