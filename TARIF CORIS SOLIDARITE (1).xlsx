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corisinvestgroup-my.sharepoint.com/personal/akambire_coris-assurances_com/Documents/Documents/DG CAV RCI 2025/Informations produits/"/>
    </mc:Choice>
  </mc:AlternateContent>
  <xr:revisionPtr revIDLastSave="4" documentId="8_{73BCA65E-3005-4B89-920B-959825A778ED}" xr6:coauthVersionLast="47" xr6:coauthVersionMax="47" xr10:uidLastSave="{A50228A6-6549-4E66-A2C8-BA9368B71789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" i="1" l="1"/>
  <c r="E28" i="1"/>
  <c r="B28" i="1"/>
  <c r="D31" i="1"/>
  <c r="C31" i="1"/>
  <c r="D30" i="1"/>
  <c r="D28" i="1"/>
  <c r="C28" i="1"/>
  <c r="D20" i="1"/>
  <c r="C20" i="1"/>
  <c r="D13" i="1"/>
  <c r="B14" i="1"/>
  <c r="B13" i="1"/>
  <c r="B12" i="1"/>
  <c r="C15" i="1"/>
  <c r="C14" i="1"/>
  <c r="J11" i="1"/>
  <c r="E29" i="1"/>
  <c r="D29" i="1" s="1"/>
  <c r="E30" i="1"/>
  <c r="C30" i="1" s="1"/>
  <c r="E31" i="1"/>
  <c r="B31" i="1" s="1"/>
  <c r="E21" i="1"/>
  <c r="D21" i="1" s="1"/>
  <c r="E22" i="1"/>
  <c r="D22" i="1" s="1"/>
  <c r="E23" i="1"/>
  <c r="D23" i="1" s="1"/>
  <c r="E20" i="1"/>
  <c r="B20" i="1" s="1"/>
  <c r="E13" i="1"/>
  <c r="C13" i="1" s="1"/>
  <c r="E14" i="1"/>
  <c r="D14" i="1" s="1"/>
  <c r="E15" i="1"/>
  <c r="D15" i="1" s="1"/>
  <c r="E12" i="1"/>
  <c r="C12" i="1" s="1"/>
  <c r="E5" i="1"/>
  <c r="C5" i="1" s="1"/>
  <c r="E6" i="1"/>
  <c r="C6" i="1" s="1"/>
  <c r="E7" i="1"/>
  <c r="C7" i="1" s="1"/>
  <c r="I19" i="1"/>
  <c r="J18" i="1"/>
  <c r="I16" i="1"/>
  <c r="E4" i="1" s="1"/>
  <c r="D4" i="1" l="1"/>
  <c r="B4" i="1"/>
  <c r="C4" i="1"/>
  <c r="B23" i="1"/>
  <c r="B6" i="1"/>
  <c r="C23" i="1"/>
  <c r="D5" i="1"/>
  <c r="C21" i="1"/>
  <c r="B7" i="1"/>
  <c r="D7" i="1"/>
  <c r="D6" i="1"/>
  <c r="B5" i="1"/>
  <c r="B29" i="1"/>
  <c r="B30" i="1"/>
  <c r="B21" i="1"/>
  <c r="D12" i="1"/>
  <c r="B15" i="1"/>
  <c r="B22" i="1"/>
  <c r="C29" i="1"/>
  <c r="C22" i="1"/>
</calcChain>
</file>

<file path=xl/sharedStrings.xml><?xml version="1.0" encoding="utf-8"?>
<sst xmlns="http://schemas.openxmlformats.org/spreadsheetml/2006/main" count="49" uniqueCount="28">
  <si>
    <t>Capitaux</t>
  </si>
  <si>
    <t>Mensuelle</t>
  </si>
  <si>
    <t>Trimestrielle</t>
  </si>
  <si>
    <t>Semestrielle</t>
  </si>
  <si>
    <t>Annuelle</t>
  </si>
  <si>
    <t>PRIME TOTALE FAMILLE DE BASE/PERIODE</t>
  </si>
  <si>
    <t>TABLEAU DES SURPRIMES ASCENDANTS</t>
  </si>
  <si>
    <t>TABLEAU DES SURPRIMES CONJOINTS SUPLEMENTAIRES</t>
  </si>
  <si>
    <t>TABLEAU DES SURPRIMES SUPLEMENTAIRES</t>
  </si>
  <si>
    <t>Capital Décès</t>
  </si>
  <si>
    <t>Famille de base</t>
  </si>
  <si>
    <t>Ascendants</t>
  </si>
  <si>
    <t>Conjoint de plus</t>
  </si>
  <si>
    <t>Age moyen Homme</t>
  </si>
  <si>
    <t>65 ans</t>
  </si>
  <si>
    <t>62 ans</t>
  </si>
  <si>
    <t>Age moyen enfant 18 ans(TD sur 3 ans)</t>
  </si>
  <si>
    <t>Taux de prime assuré principal</t>
  </si>
  <si>
    <t>Taux de prime conjoint assuré</t>
  </si>
  <si>
    <t>Taux de prime enfants</t>
  </si>
  <si>
    <t>Taux famille de base</t>
  </si>
  <si>
    <t>Taux de prime ascendant</t>
  </si>
  <si>
    <t>Age moyen ascendant</t>
  </si>
  <si>
    <t>70 ans</t>
  </si>
  <si>
    <t>Frac mensuelle</t>
  </si>
  <si>
    <t>Frac trimestrielle</t>
  </si>
  <si>
    <t>Frac semestrielle</t>
  </si>
  <si>
    <t>Age moyen conjoint (H-3)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</si>
</sst>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0" fontId="5" fillId="0" borderId="1" xfId="2" applyNumberFormat="1" applyFont="1" applyBorder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L14" sqref="L14"/>
    </sheetView>
  </sheetViews>
  <sheetFormatPr baseColWidth="10" defaultRowHeight="14.4" x14ac:dyDescent="0.3"/>
  <cols>
    <col min="7" max="7" width="12.6640625" customWidth="1"/>
    <col min="8" max="8" width="10.21875" customWidth="1"/>
    <col min="9" max="9" width="8.77734375" customWidth="1"/>
    <col min="10" max="10" width="10.21875" customWidth="1"/>
    <col min="11" max="11" width="8.88671875" customWidth="1"/>
    <col min="12" max="12" width="10.77734375" customWidth="1"/>
    <col min="13" max="13" width="9.44140625" customWidth="1"/>
  </cols>
  <sheetData>
    <row r="1" spans="1:13" x14ac:dyDescent="0.3">
      <c r="A1" s="19" t="s">
        <v>5</v>
      </c>
      <c r="B1" s="19"/>
      <c r="C1" s="19"/>
      <c r="D1" s="19"/>
      <c r="E1" s="19"/>
    </row>
    <row r="3" spans="1:13" ht="15" thickBo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13" ht="15" thickBot="1" x14ac:dyDescent="0.35">
      <c r="A4" s="6">
        <v>500000</v>
      </c>
      <c r="B4" s="6">
        <f>E4*(1+$I$26)/12</f>
        <v>2698.9291221283343</v>
      </c>
      <c r="C4" s="6">
        <f>E4*(1+$I$27)/4</f>
        <v>8018.9336417082231</v>
      </c>
      <c r="D4" s="6">
        <f>E4*(1+$I$28)/2</f>
        <v>15882.159834062888</v>
      </c>
      <c r="E4" s="6">
        <f>+$I$16*A4</f>
        <v>31141.489870711546</v>
      </c>
      <c r="G4" s="20" t="s">
        <v>9</v>
      </c>
      <c r="H4" s="22" t="s">
        <v>10</v>
      </c>
      <c r="I4" s="23"/>
      <c r="J4" s="22" t="s">
        <v>11</v>
      </c>
      <c r="K4" s="23"/>
      <c r="L4" s="24" t="s">
        <v>12</v>
      </c>
      <c r="M4" s="25"/>
    </row>
    <row r="5" spans="1:13" ht="15" thickBot="1" x14ac:dyDescent="0.35">
      <c r="A5" s="6">
        <v>1000000</v>
      </c>
      <c r="B5" s="6">
        <f t="shared" ref="B5:B7" si="0">E5*(1+$I$26)/12</f>
        <v>5397.8582442566685</v>
      </c>
      <c r="C5" s="6">
        <f t="shared" ref="C5:C7" si="1">E5*(1+$I$27)/4</f>
        <v>16037.867283416446</v>
      </c>
      <c r="D5" s="6">
        <f t="shared" ref="D5:D7" si="2">E5*(1+$I$28)/2</f>
        <v>31764.319668125776</v>
      </c>
      <c r="E5" s="6">
        <f t="shared" ref="E5:E7" si="3">+$I$16*A5</f>
        <v>62282.979741423092</v>
      </c>
      <c r="G5" s="21"/>
      <c r="H5" s="7" t="s">
        <v>1</v>
      </c>
      <c r="I5" s="8" t="s">
        <v>4</v>
      </c>
      <c r="J5" s="7" t="s">
        <v>1</v>
      </c>
      <c r="K5" s="7" t="s">
        <v>4</v>
      </c>
      <c r="L5" s="9" t="s">
        <v>1</v>
      </c>
      <c r="M5" s="9" t="s">
        <v>4</v>
      </c>
    </row>
    <row r="6" spans="1:13" ht="15" thickBot="1" x14ac:dyDescent="0.35">
      <c r="A6" s="6">
        <v>1500000</v>
      </c>
      <c r="B6" s="6">
        <f t="shared" si="0"/>
        <v>8096.7873663850014</v>
      </c>
      <c r="C6" s="6">
        <f t="shared" si="1"/>
        <v>24056.800925124669</v>
      </c>
      <c r="D6" s="6">
        <f t="shared" si="2"/>
        <v>47646.479502188668</v>
      </c>
      <c r="E6" s="6">
        <f t="shared" si="3"/>
        <v>93424.469612134635</v>
      </c>
      <c r="G6" s="10">
        <v>500000</v>
      </c>
      <c r="H6" s="11">
        <v>2698.9291221283343</v>
      </c>
      <c r="I6" s="11">
        <v>31141.489870711546</v>
      </c>
      <c r="J6" s="11">
        <v>1547</v>
      </c>
      <c r="K6" s="11">
        <v>17850</v>
      </c>
      <c r="L6" s="13">
        <v>860.10064875844421</v>
      </c>
      <c r="M6" s="12">
        <v>9924.2382549051254</v>
      </c>
    </row>
    <row r="7" spans="1:13" ht="15" thickBot="1" x14ac:dyDescent="0.35">
      <c r="A7" s="6">
        <v>2000000</v>
      </c>
      <c r="B7" s="6">
        <f t="shared" si="0"/>
        <v>10795.716488513337</v>
      </c>
      <c r="C7" s="6">
        <f t="shared" si="1"/>
        <v>32075.734566832893</v>
      </c>
      <c r="D7" s="6">
        <f t="shared" si="2"/>
        <v>63528.639336251552</v>
      </c>
      <c r="E7" s="6">
        <f t="shared" si="3"/>
        <v>124565.95948284618</v>
      </c>
      <c r="G7" s="10">
        <v>1000000</v>
      </c>
      <c r="H7" s="11">
        <v>5397.8582442566685</v>
      </c>
      <c r="I7" s="11">
        <v>62282.979741423092</v>
      </c>
      <c r="J7" s="11">
        <v>3094</v>
      </c>
      <c r="K7" s="11">
        <v>35700</v>
      </c>
      <c r="L7" s="13">
        <v>1720.2012975168884</v>
      </c>
      <c r="M7" s="12">
        <v>19848.476509810251</v>
      </c>
    </row>
    <row r="8" spans="1:13" ht="15" thickBot="1" x14ac:dyDescent="0.35">
      <c r="G8" s="10">
        <v>1500000</v>
      </c>
      <c r="H8" s="11">
        <v>8096.7873663850014</v>
      </c>
      <c r="I8" s="11">
        <v>93424.469612134635</v>
      </c>
      <c r="J8" s="11">
        <v>4641.0000000000009</v>
      </c>
      <c r="K8" s="11">
        <v>53550.000000000007</v>
      </c>
      <c r="L8" s="13">
        <v>2580.3019462753327</v>
      </c>
      <c r="M8" s="12">
        <v>29772.714764715376</v>
      </c>
    </row>
    <row r="9" spans="1:13" ht="15" thickBot="1" x14ac:dyDescent="0.35">
      <c r="A9" s="19" t="s">
        <v>6</v>
      </c>
      <c r="B9" s="19"/>
      <c r="C9" s="19"/>
      <c r="D9" s="19"/>
      <c r="E9" s="19"/>
      <c r="G9" s="10">
        <v>2000000</v>
      </c>
      <c r="H9" s="11">
        <v>10795.716488513337</v>
      </c>
      <c r="I9" s="11">
        <v>124565.95948284618</v>
      </c>
      <c r="J9" s="11">
        <v>6188</v>
      </c>
      <c r="K9" s="11">
        <v>71400</v>
      </c>
      <c r="L9" s="13">
        <v>3440.4025950337768</v>
      </c>
      <c r="M9" s="12">
        <v>39696.953019620501</v>
      </c>
    </row>
    <row r="11" spans="1:13" x14ac:dyDescent="0.3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J11" s="15">
        <f>(I6/12)*(1+12%)</f>
        <v>2906.5390545997448</v>
      </c>
    </row>
    <row r="12" spans="1:13" x14ac:dyDescent="0.3">
      <c r="A12" s="6">
        <v>500000</v>
      </c>
      <c r="B12" s="6">
        <f>E12*(1+$I$26)/12</f>
        <v>1547</v>
      </c>
      <c r="C12" s="6">
        <f>E12*(1+$I$27)/4</f>
        <v>4596.375</v>
      </c>
      <c r="D12" s="6">
        <f>E12*(1+$I$28)/2</f>
        <v>9103.5</v>
      </c>
      <c r="E12" s="6">
        <f>+A12*$I$18</f>
        <v>17850</v>
      </c>
      <c r="G12" t="s">
        <v>18</v>
      </c>
      <c r="I12" s="16">
        <v>1.984847650981025E-2</v>
      </c>
    </row>
    <row r="13" spans="1:13" x14ac:dyDescent="0.3">
      <c r="A13" s="6">
        <v>1000000</v>
      </c>
      <c r="B13" s="6">
        <f>E13*(1+$I$26)/12</f>
        <v>3094</v>
      </c>
      <c r="C13" s="6">
        <f t="shared" ref="C13:C15" si="4">E13*(1+$I$27)/4</f>
        <v>9192.75</v>
      </c>
      <c r="D13" s="6">
        <f>E13*(1+$I$28)/2</f>
        <v>18207</v>
      </c>
      <c r="E13" s="6">
        <f t="shared" ref="E13:E15" si="5">+A13*$I$18</f>
        <v>35700</v>
      </c>
      <c r="G13" t="s">
        <v>17</v>
      </c>
      <c r="I13" s="14">
        <v>2.52117759056481E-2</v>
      </c>
    </row>
    <row r="14" spans="1:13" x14ac:dyDescent="0.3">
      <c r="A14" s="6">
        <v>1500000</v>
      </c>
      <c r="B14" s="6">
        <f>E14*(1+$I$26)/12</f>
        <v>4641.0000000000009</v>
      </c>
      <c r="C14" s="6">
        <f t="shared" si="4"/>
        <v>13789.125000000002</v>
      </c>
      <c r="D14" s="6">
        <f>E14*(1+$I$28)/2</f>
        <v>27310.500000000004</v>
      </c>
      <c r="E14" s="6">
        <f t="shared" si="5"/>
        <v>53550.000000000007</v>
      </c>
      <c r="G14" t="s">
        <v>19</v>
      </c>
      <c r="H14" s="2"/>
      <c r="I14" s="14">
        <v>2.8704545543274569E-3</v>
      </c>
      <c r="L14" s="2">
        <f>H7+J7*2</f>
        <v>11585.858244256669</v>
      </c>
    </row>
    <row r="15" spans="1:13" x14ac:dyDescent="0.3">
      <c r="A15" s="6">
        <v>2000000</v>
      </c>
      <c r="B15" s="6">
        <f>E15*(1+$I$26)/12</f>
        <v>6188</v>
      </c>
      <c r="C15" s="6">
        <f t="shared" si="4"/>
        <v>18385.5</v>
      </c>
      <c r="D15" s="6">
        <f>E15*(1+$I$28)/2</f>
        <v>36414</v>
      </c>
      <c r="E15" s="6">
        <f t="shared" si="5"/>
        <v>71400</v>
      </c>
      <c r="H15" s="15"/>
    </row>
    <row r="16" spans="1:13" x14ac:dyDescent="0.3">
      <c r="G16" t="s">
        <v>20</v>
      </c>
      <c r="I16" s="17">
        <f>I12+I13+I14*6</f>
        <v>6.2282979741423092E-2</v>
      </c>
    </row>
    <row r="17" spans="1:10" x14ac:dyDescent="0.3">
      <c r="A17" s="19" t="s">
        <v>7</v>
      </c>
      <c r="B17" s="19"/>
      <c r="C17" s="19"/>
      <c r="D17" s="19"/>
      <c r="E17" s="19"/>
    </row>
    <row r="18" spans="1:10" x14ac:dyDescent="0.3">
      <c r="G18" t="s">
        <v>21</v>
      </c>
      <c r="I18" s="16">
        <v>3.5700000000000003E-2</v>
      </c>
      <c r="J18" s="16">
        <f>K6/G6</f>
        <v>3.5700000000000003E-2</v>
      </c>
    </row>
    <row r="19" spans="1:10" x14ac:dyDescent="0.3">
      <c r="A19" s="4" t="s">
        <v>0</v>
      </c>
      <c r="B19" s="5" t="s">
        <v>1</v>
      </c>
      <c r="C19" s="5" t="s">
        <v>2</v>
      </c>
      <c r="D19" s="5" t="s">
        <v>3</v>
      </c>
      <c r="E19" s="5" t="s">
        <v>4</v>
      </c>
      <c r="I19">
        <f>I18*G9</f>
        <v>71400</v>
      </c>
    </row>
    <row r="20" spans="1:10" x14ac:dyDescent="0.3">
      <c r="A20" s="6">
        <v>500000</v>
      </c>
      <c r="B20" s="6">
        <f>E20*(1+$I$26)/12</f>
        <v>860.10064875844421</v>
      </c>
      <c r="C20" s="6">
        <f>E20*(1+$I$27)/4</f>
        <v>2555.4913506380699</v>
      </c>
      <c r="D20" s="6">
        <f>E20*(1+$I$28)/2</f>
        <v>5061.3615100016141</v>
      </c>
      <c r="E20" s="6">
        <f>A20*$I$12</f>
        <v>9924.2382549051254</v>
      </c>
    </row>
    <row r="21" spans="1:10" x14ac:dyDescent="0.3">
      <c r="A21" s="6">
        <v>1000000</v>
      </c>
      <c r="B21" s="6">
        <f>E21*(1+$I$26)/12</f>
        <v>1720.2012975168884</v>
      </c>
      <c r="C21" s="6">
        <f t="shared" ref="C21:C23" si="6">E21*(1+$I$27)/4</f>
        <v>5110.9827012761398</v>
      </c>
      <c r="D21" s="6">
        <f>E21*(1+$I$28)/2</f>
        <v>10122.723020003228</v>
      </c>
      <c r="E21" s="6">
        <f t="shared" ref="E21:E23" si="7">A21*$I$12</f>
        <v>19848.476509810251</v>
      </c>
      <c r="G21" t="s">
        <v>13</v>
      </c>
      <c r="I21" t="s">
        <v>14</v>
      </c>
    </row>
    <row r="22" spans="1:10" x14ac:dyDescent="0.3">
      <c r="A22" s="6">
        <v>1500000</v>
      </c>
      <c r="B22" s="6">
        <f>E22*(1+$I$26)/12</f>
        <v>2580.3019462753327</v>
      </c>
      <c r="C22" s="6">
        <f t="shared" si="6"/>
        <v>7666.4740519142097</v>
      </c>
      <c r="D22" s="6">
        <f>E22*(1+$I$28)/2</f>
        <v>15184.084530004842</v>
      </c>
      <c r="E22" s="6">
        <f t="shared" si="7"/>
        <v>29772.714764715376</v>
      </c>
      <c r="G22" t="s">
        <v>27</v>
      </c>
      <c r="I22" t="s">
        <v>15</v>
      </c>
    </row>
    <row r="23" spans="1:10" x14ac:dyDescent="0.3">
      <c r="A23" s="6">
        <v>2000000</v>
      </c>
      <c r="B23" s="6">
        <f>E23*(1+$I$26)/12</f>
        <v>3440.4025950337768</v>
      </c>
      <c r="C23" s="6">
        <f t="shared" si="6"/>
        <v>10221.96540255228</v>
      </c>
      <c r="D23" s="6">
        <f>E23*(1+$I$28)/2</f>
        <v>20245.446040006456</v>
      </c>
      <c r="E23" s="6">
        <f t="shared" si="7"/>
        <v>39696.953019620501</v>
      </c>
      <c r="G23" t="s">
        <v>16</v>
      </c>
    </row>
    <row r="24" spans="1:10" x14ac:dyDescent="0.3">
      <c r="G24" t="s">
        <v>22</v>
      </c>
      <c r="I24" t="s">
        <v>23</v>
      </c>
    </row>
    <row r="25" spans="1:10" x14ac:dyDescent="0.3">
      <c r="A25" s="19" t="s">
        <v>8</v>
      </c>
      <c r="B25" s="19"/>
      <c r="C25" s="19"/>
      <c r="D25" s="19"/>
      <c r="E25" s="19"/>
    </row>
    <row r="26" spans="1:10" x14ac:dyDescent="0.3">
      <c r="G26" t="s">
        <v>24</v>
      </c>
      <c r="I26" s="18">
        <v>0.04</v>
      </c>
    </row>
    <row r="27" spans="1:10" x14ac:dyDescent="0.3">
      <c r="A27" s="1" t="s">
        <v>0</v>
      </c>
      <c r="B27" s="3" t="s">
        <v>1</v>
      </c>
      <c r="C27" s="3" t="s">
        <v>2</v>
      </c>
      <c r="D27" s="3" t="s">
        <v>3</v>
      </c>
      <c r="E27" s="3" t="s">
        <v>4</v>
      </c>
      <c r="G27" t="s">
        <v>25</v>
      </c>
      <c r="I27" s="18">
        <v>0.03</v>
      </c>
    </row>
    <row r="28" spans="1:10" x14ac:dyDescent="0.3">
      <c r="A28" s="6">
        <v>500000</v>
      </c>
      <c r="B28" s="6">
        <f>E28*(1+$I$26)/12</f>
        <v>124.38636402085648</v>
      </c>
      <c r="C28" s="6">
        <f>E28*(1+$I$27)/4</f>
        <v>369.57102386966011</v>
      </c>
      <c r="D28" s="6">
        <f>E28*(1+$I$28)/2</f>
        <v>731.96591135350161</v>
      </c>
      <c r="E28" s="2">
        <f>A28*$I$14</f>
        <v>1435.2272771637286</v>
      </c>
      <c r="G28" t="s">
        <v>26</v>
      </c>
      <c r="I28" s="18">
        <v>0.02</v>
      </c>
    </row>
    <row r="29" spans="1:10" x14ac:dyDescent="0.3">
      <c r="A29" s="6">
        <v>1000000</v>
      </c>
      <c r="B29" s="6">
        <f>E29*(1+$I$26)/12</f>
        <v>248.77272804171295</v>
      </c>
      <c r="C29" s="6">
        <f t="shared" ref="C29:C31" si="8">E29*(1+$I$27)/4</f>
        <v>739.14204773932022</v>
      </c>
      <c r="D29" s="6">
        <f>E29*(1+$I$28)/2</f>
        <v>1463.9318227070032</v>
      </c>
      <c r="E29" s="2">
        <f t="shared" ref="E29:E31" si="9">A29*$I$14</f>
        <v>2870.4545543274571</v>
      </c>
    </row>
    <row r="30" spans="1:10" x14ac:dyDescent="0.3">
      <c r="A30" s="6">
        <v>1500000</v>
      </c>
      <c r="B30" s="6">
        <f>E30*(1+$I$26)/12</f>
        <v>373.15909206256941</v>
      </c>
      <c r="C30" s="6">
        <f t="shared" si="8"/>
        <v>1108.7130716089803</v>
      </c>
      <c r="D30" s="6">
        <f>E30*(1+$I$28)/2</f>
        <v>2195.8977340605047</v>
      </c>
      <c r="E30" s="2">
        <f t="shared" si="9"/>
        <v>4305.6818314911852</v>
      </c>
    </row>
    <row r="31" spans="1:10" x14ac:dyDescent="0.3">
      <c r="A31" s="6">
        <v>2000000</v>
      </c>
      <c r="B31" s="6">
        <f>E31*(1+$I$26)/12</f>
        <v>497.5454560834259</v>
      </c>
      <c r="C31" s="6">
        <f t="shared" si="8"/>
        <v>1478.2840954786404</v>
      </c>
      <c r="D31" s="6">
        <f>E31*(1+$I$28)/2</f>
        <v>2927.8636454140064</v>
      </c>
      <c r="E31" s="2">
        <f t="shared" si="9"/>
        <v>5740.9091086549142</v>
      </c>
      <c r="G31" s="2"/>
    </row>
    <row r="35" spans="7:7" x14ac:dyDescent="0.3">
      <c r="G35" s="15"/>
    </row>
    <row r="38" spans="7:7" x14ac:dyDescent="0.3">
      <c r="G38" s="15"/>
    </row>
  </sheetData>
  <mergeCells count="8">
    <mergeCell ref="H4:I4"/>
    <mergeCell ref="J4:K4"/>
    <mergeCell ref="L4:M4"/>
    <mergeCell ref="A1:E1"/>
    <mergeCell ref="A9:E9"/>
    <mergeCell ref="A17:E17"/>
    <mergeCell ref="A25:E2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KAMBIRE Alain Sié</dc:creator>
  <cp:lastModifiedBy>Sié Alain KAMBIRE</cp:lastModifiedBy>
  <dcterms:created xsi:type="dcterms:W3CDTF">2020-12-16T12:55:50Z</dcterms:created>
  <dcterms:modified xsi:type="dcterms:W3CDTF">2025-05-28T11:51:12Z</dcterms:modified>
</cp:coreProperties>
</file>